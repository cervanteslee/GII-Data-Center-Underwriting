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932511dd8234a1f" /><Relationship Type="http://schemas.openxmlformats.org/package/2006/relationships/metadata/core-properties" Target="/docProps/core.xml" Id="RcoreProps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4627c8e78b4a4bb7"/>
    <x:sheet xmlns:r="http://schemas.openxmlformats.org/officeDocument/2006/relationships" name="01_Contents" sheetId="2" r:id="R73ce4d0efead4adf"/>
    <x:sheet xmlns:r="http://schemas.openxmlformats.org/officeDocument/2006/relationships" name="02_Reader_Guide" sheetId="3" r:id="R937c48a9c10b4532"/>
    <x:sheet xmlns:r="http://schemas.openxmlformats.org/officeDocument/2006/relationships" name="Start" sheetId="4" r:id="Rf8ea9b9d0b254b24"/>
    <x:sheet xmlns:r="http://schemas.openxmlformats.org/officeDocument/2006/relationships" name="E01_Overview" sheetId="5" r:id="R27d527c12d984921"/>
    <x:sheet xmlns:r="http://schemas.openxmlformats.org/officeDocument/2006/relationships" name="Inputs" sheetId="6" r:id="Rfad71c3d22f24144"/>
    <x:sheet xmlns:r="http://schemas.openxmlformats.org/officeDocument/2006/relationships" name="E02_Inputs" sheetId="7" r:id="Rec24e65da03b4765"/>
    <x:sheet xmlns:r="http://schemas.openxmlformats.org/officeDocument/2006/relationships" name="Development" sheetId="8" r:id="Rf1860143496a4c4b"/>
    <x:sheet xmlns:r="http://schemas.openxmlformats.org/officeDocument/2006/relationships" name="E03_Development" sheetId="9" r:id="R00c7c134dd47453e"/>
    <x:sheet xmlns:r="http://schemas.openxmlformats.org/officeDocument/2006/relationships" name="Construction" sheetId="10" r:id="R1bb4e86a602b4f40"/>
    <x:sheet xmlns:r="http://schemas.openxmlformats.org/officeDocument/2006/relationships" name="E04_Construction" sheetId="11" r:id="Re1c0da4eeae342f8"/>
    <x:sheet xmlns:r="http://schemas.openxmlformats.org/officeDocument/2006/relationships" name="Landlord" sheetId="12" r:id="R9d9626955663413c"/>
    <x:sheet xmlns:r="http://schemas.openxmlformats.org/officeDocument/2006/relationships" name="E05_Landlord" sheetId="13" r:id="R92bfbe294af14173"/>
    <x:sheet xmlns:r="http://schemas.openxmlformats.org/officeDocument/2006/relationships" name="Power" sheetId="14" r:id="R1d8ae2d0733b43c9"/>
    <x:sheet xmlns:r="http://schemas.openxmlformats.org/officeDocument/2006/relationships" name="E06_Power" sheetId="15" r:id="R3f05c73ddaf242c2"/>
    <x:sheet xmlns:r="http://schemas.openxmlformats.org/officeDocument/2006/relationships" name="Integrated" sheetId="16" r:id="Rf7ca4e0aae094967"/>
    <x:sheet xmlns:r="http://schemas.openxmlformats.org/officeDocument/2006/relationships" name="E07_Integrated" sheetId="17" r:id="R857908c15b384fc2"/>
    <x:sheet xmlns:r="http://schemas.openxmlformats.org/officeDocument/2006/relationships" name="Sensitivity" sheetId="18" r:id="R1d852716cf474fdf"/>
    <x:sheet xmlns:r="http://schemas.openxmlformats.org/officeDocument/2006/relationships" name="E08_Sensitivity" sheetId="19" r:id="Rd3779ac9f94c4453"/>
    <x:sheet xmlns:r="http://schemas.openxmlformats.org/officeDocument/2006/relationships" name="Research" sheetId="20" r:id="Rda40e842afe446e5"/>
    <x:sheet xmlns:r="http://schemas.openxmlformats.org/officeDocument/2006/relationships" name="E09_Research" sheetId="21" r:id="R88861bba911748c0"/>
    <x:sheet xmlns:r="http://schemas.openxmlformats.org/officeDocument/2006/relationships" name="Monthly CF" sheetId="22" r:id="R52d08265e31441c2"/>
    <x:sheet xmlns:r="http://schemas.openxmlformats.org/officeDocument/2006/relationships" name="E10_Monthly_Returns" sheetId="23" r:id="R64049515e7b743eb"/>
    <x:sheet xmlns:r="http://schemas.openxmlformats.org/officeDocument/2006/relationships" name="Market" sheetId="24" r:id="R826f27574d8f453e"/>
    <x:sheet xmlns:r="http://schemas.openxmlformats.org/officeDocument/2006/relationships" name="E11_Market" sheetId="25" r:id="Rce4f0b1ed2b94b1d"/>
    <x:sheet xmlns:r="http://schemas.openxmlformats.org/officeDocument/2006/relationships" name="Tenant Credit" sheetId="26" r:id="Rae89bd22152648b7"/>
    <x:sheet xmlns:r="http://schemas.openxmlformats.org/officeDocument/2006/relationships" name="E12_Tenant_Credit" sheetId="27" r:id="R9188687739e449b7"/>
    <x:sheet xmlns:r="http://schemas.openxmlformats.org/officeDocument/2006/relationships" name="GMI Case" sheetId="28" r:id="R4351349982cf4f8b"/>
    <x:sheet xmlns:r="http://schemas.openxmlformats.org/officeDocument/2006/relationships" name="E13_GMI_Case" sheetId="29" r:id="R12004d1f7df442c9"/>
    <x:sheet xmlns:r="http://schemas.openxmlformats.org/officeDocument/2006/relationships" name="Lease Screen" sheetId="30" r:id="R181e0d5ef3714e7f"/>
    <x:sheet xmlns:r="http://schemas.openxmlformats.org/officeDocument/2006/relationships" name="E14_Lease" sheetId="31" r:id="R73b59a0f1d24403c"/>
    <x:sheet xmlns:r="http://schemas.openxmlformats.org/officeDocument/2006/relationships" name="Downside" sheetId="32" r:id="R06988c5c39684a8f"/>
    <x:sheet xmlns:r="http://schemas.openxmlformats.org/officeDocument/2006/relationships" name="E15_Downside" sheetId="33" r:id="R7f4bdcc9b6194f86"/>
    <x:sheet xmlns:r="http://schemas.openxmlformats.org/officeDocument/2006/relationships" name="Trace" sheetId="34" r:id="Rec31969055b8437c"/>
    <x:sheet xmlns:r="http://schemas.openxmlformats.org/officeDocument/2006/relationships" name="E16_Trace" sheetId="35" r:id="R63d8a37f2ac04071"/>
    <x:sheet xmlns:r="http://schemas.openxmlformats.org/officeDocument/2006/relationships" name="Checks" sheetId="36" r:id="R9ce5ea4e2bb846fe"/>
    <x:sheet xmlns:r="http://schemas.openxmlformats.org/officeDocument/2006/relationships" name="E17_Checks" sheetId="37" r:id="R70cf159709734c76"/>
  </x:sheets>
  <x:definedNames>
    <x:definedName name="_xlnm.Print_Area" localSheetId="0">'00_Cover'!$P$203:$S$243</x:definedName>
    <x:definedName name="_xlnm.Print_Area" localSheetId="1">'01_Contents'!$P$203:$S$243</x:definedName>
    <x:definedName name="_xlnm.Print_Area" localSheetId="2">'02_Reader_Guide'!$P$203:$S$243</x:definedName>
    <x:definedName name="_xlnm.Print_Area" localSheetId="3">'Start'!$P$203:$S$243</x:definedName>
    <x:definedName name="_xlnm.Print_Area" localSheetId="4">'E01_Overview'!$P$203:$S$243</x:definedName>
    <x:definedName name="_xlnm.Print_Area" localSheetId="5">'Inputs'!$P$203:$S$243</x:definedName>
    <x:definedName name="_xlnm.Print_Area" localSheetId="6">'E02_Inputs'!$P$203:$S$243</x:definedName>
    <x:definedName name="_xlnm.Print_Area" localSheetId="7">'Development'!$P$203:$S$243</x:definedName>
    <x:definedName name="_xlnm.Print_Area" localSheetId="8">'E03_Development'!$P$203:$S$243</x:definedName>
    <x:definedName name="_xlnm.Print_Area" localSheetId="9">'Construction'!$P$203:$S$243</x:definedName>
    <x:definedName name="_xlnm.Print_Area" localSheetId="10">'E04_Construction'!$P$203:$S$243</x:definedName>
    <x:definedName name="_xlnm.Print_Area" localSheetId="11">'Landlord'!$P$203:$S$243</x:definedName>
    <x:definedName name="_xlnm.Print_Area" localSheetId="12">'E05_Landlord'!$P$203:$S$243</x:definedName>
    <x:definedName name="_xlnm.Print_Area" localSheetId="13">'Power'!$P$203:$S$243</x:definedName>
    <x:definedName name="_xlnm.Print_Area" localSheetId="14">'E06_Power'!$P$203:$S$243</x:definedName>
    <x:definedName name="_xlnm.Print_Area" localSheetId="15">'Integrated'!$P$203:$S$243</x:definedName>
    <x:definedName name="_xlnm.Print_Area" localSheetId="16">'E07_Integrated'!$P$203:$S$243</x:definedName>
    <x:definedName name="_xlnm.Print_Area" localSheetId="17">'Sensitivity'!$P$203:$S$243</x:definedName>
    <x:definedName name="_xlnm.Print_Area" localSheetId="18">'E08_Sensitivity'!$P$203:$S$243</x:definedName>
    <x:definedName name="_xlnm.Print_Area" localSheetId="19">'Research'!$P$203:$S$243</x:definedName>
    <x:definedName name="_xlnm.Print_Area" localSheetId="20">'E09_Research'!$P$203:$S$243</x:definedName>
    <x:definedName name="_xlnm.Print_Area" localSheetId="21">'Monthly CF'!$P$203:$S$243</x:definedName>
    <x:definedName name="_xlnm.Print_Area" localSheetId="22">'E10_Monthly_Returns'!$P$203:$S$243</x:definedName>
    <x:definedName name="_xlnm.Print_Area" localSheetId="23">'Market'!$P$203:$S$243</x:definedName>
    <x:definedName name="_xlnm.Print_Area" localSheetId="24">'E11_Market'!$P$203:$S$243</x:definedName>
    <x:definedName name="_xlnm.Print_Area" localSheetId="25">'Tenant Credit'!$P$203:$S$243</x:definedName>
    <x:definedName name="_xlnm.Print_Area" localSheetId="26">'E12_Tenant_Credit'!$P$203:$S$243</x:definedName>
    <x:definedName name="_xlnm.Print_Area" localSheetId="27">'GMI Case'!$P$203:$S$243</x:definedName>
    <x:definedName name="_xlnm.Print_Area" localSheetId="28">'E13_GMI_Case'!$P$203:$S$243</x:definedName>
    <x:definedName name="_xlnm.Print_Area" localSheetId="29">'Lease Screen'!$P$203:$S$243</x:definedName>
    <x:definedName name="_xlnm.Print_Area" localSheetId="30">'E14_Lease'!$P$203:$S$243</x:definedName>
    <x:definedName name="_xlnm.Print_Area" localSheetId="31">'Downside'!$P$203:$S$243</x:definedName>
    <x:definedName name="_xlnm.Print_Area" localSheetId="32">'E15_Downside'!$P$203:$S$243</x:definedName>
    <x:definedName name="_xlnm.Print_Area" localSheetId="33">'Trace'!$P$203:$S$243</x:definedName>
    <x:definedName name="_xlnm.Print_Area" localSheetId="34">'E16_Trace'!$P$203:$S$243</x:definedName>
    <x:definedName name="_xlnm.Print_Area" localSheetId="35">'Checks'!$P$203:$S$243</x:definedName>
    <x:definedName name="_xlnm.Print_Area" localSheetId="36">'E17_Checks'!$P$203:$S$243</x:definedName>
  </x:definedNames>
</x:workbook>
</file>

<file path=xl/sharedStrings.xml><?xml version="1.0" encoding="utf-8"?>
<x:sst xmlns:x="http://schemas.openxmlformats.org/spreadsheetml/2006/main">
  <x:si>
    <x:t xml:space="preserve">GLOBAL INNOVATION INSTITUTE  |  GII APPLIED RESEARCH</x:t>
  </x:si>
  <x:si>
    <x:t xml:space="preserve">DATA CENTER REAL ESTATE</x:t>
  </x:si>
  <x:si>
    <x:t xml:space="preserve">UNDERWRITING 101</x:t>
  </x:si>
  <x:si>
    <x:t xml:space="preserve">POWER-CONSTRAINED SILICON VALLEY</x:t>
  </x:si>
  <x:si>
    <x:t xml:space="preserve">A practical 10 MW case for commercial real estate and institutional investors</x:t>
  </x:si>
  <x:si>
    <x:t xml:space="preserve">FOUR LIVE-LINKED MEASURES  |  HYPOTHETICAL LANDLORD CASE</x:t>
  </x:si>
  <x:si>
    <x:t xml:space="preserve">IT CAPACITY</x:t>
  </x:si>
  <x:si>
    <x:t xml:space="preserve">YEAR 1 RENT</x:t>
  </x:si>
  <x:si>
    <x:t xml:space="preserve">YEAR 1 NOI</x:t>
  </x:si>
  <x:si>
    <x:t xml:space="preserve">Deliverable critical IT power</x:t>
  </x:si>
  <x:si>
    <x:t xml:space="preserve">Land + facility + financing</x:t>
  </x:si>
  <x:si>
    <x:t xml:space="preserve">Reserved capacity charge</x:t>
  </x:si>
  <x:si>
    <x:t xml:space="preserve">After property costs</x:t>
  </x:si>
  <x:si>
    <x:t xml:space="preserve">THE INVESTMENT QUESTION</x:t>
  </x:si>
  <x:si>
    <x:t xml:space="preserve">Who controls scarce power, who finances delivery, and who collects the cash?</x:t>
  </x:si>
  <x:si>
    <x:t xml:space="preserve">A 10 MW investor guide to land, power, lease credit, capital and cash flow.</x:t>
  </x:si>
  <x:si>
    <x:t xml:space="preserve">Dr. Cervantes Lee   |   UNLV Faculty &amp; GII Executive Director   |   MIT MSRED</x:t>
  </x:si>
  <x:si>
    <x:t xml:space="preserve">GLOBAL INNOVATION INSTITUTE  |  INDEPENDENT UNDERWRITING RESEARCH</x:t>
  </x:si>
  <x:si>
    <x:t xml:space="preserve">TABLE OF CONTENTS &amp; WORKBOOK NAVIGATION</x:t>
  </x:si>
  <x:si>
    <x:t xml:space="preserve">THE 10 MW UNDERWRITING BOOKLET  |  37 TABS  •  37 LANDSCAPE PAGES</x:t>
  </x:si>
  <x:si>
    <x:t xml:space="preserve">Read each working model followed by its one-page investor exhibit. Working sheets contain full editable formulas; print areas show readable snapshots.</x:t>
  </x:si>
  <x:si>
    <x:t xml:space="preserve">BOOKLET INDEX  |  PRINT ORDER</x:t>
  </x:si>
  <x:si>
    <x:t xml:space="preserve">NO.</x:t>
  </x:si>
  <x:si>
    <x:t xml:space="preserve">WORKING MODEL TAB</x:t>
  </x:si>
  <x:si>
    <x:t xml:space="preserve">INVESTOR EXHIBIT TAB</x:t>
  </x:si>
  <x:si>
    <x:t xml:space="preserve">INVESTMENT QUESTION / PURPOSE</x:t>
  </x:si>
  <x:si>
    <x:t xml:space="preserve">PDF PAGES</x:t>
  </x:si>
  <x:si>
    <x:t xml:space="preserve">01</x:t>
  </x:si>
  <x:si>
    <x:t xml:space="preserve">Start</x:t>
  </x:si>
  <x:si>
    <x:t xml:space="preserve">E01_Overview</x:t>
  </x:si>
  <x:si>
    <x:t xml:space="preserve">10 MW assumptions and the executive investment summary</x:t>
  </x:si>
  <x:si>
    <x:t xml:space="preserve">4–5</x:t>
  </x:si>
  <x:si>
    <x:t xml:space="preserve">02</x:t>
  </x:si>
  <x:si>
    <x:t xml:space="preserve">Inputs</x:t>
  </x:si>
  <x:si>
    <x:t xml:space="preserve">E02_Inputs</x:t>
  </x:si>
  <x:si>
    <x:t xml:space="preserve">Project sizing, rent, loading, tariffs, and financing inputs</x:t>
  </x:si>
  <x:si>
    <x:t xml:space="preserve">6–7</x:t>
  </x:si>
  <x:si>
    <x:t xml:space="preserve">03</x:t>
  </x:si>
  <x:si>
    <x:t xml:space="preserve">Development</x:t>
  </x:si>
  <x:si>
    <x:t xml:space="preserve">E03_Development</x:t>
  </x:si>
  <x:si>
    <x:t xml:space="preserve">What does the developer own and need to fund?</x:t>
  </x:si>
  <x:si>
    <x:t xml:space="preserve">8–9</x:t>
  </x:si>
  <x:si>
    <x:t xml:space="preserve">04</x:t>
  </x:si>
  <x:si>
    <x:t xml:space="preserve">Construction</x:t>
  </x:si>
  <x:si>
    <x:t xml:space="preserve">E04_Construction</x:t>
  </x:si>
  <x:si>
    <x:t xml:space="preserve">Construction draw schedule, cost and interest carry</x:t>
  </x:si>
  <x:si>
    <x:t xml:space="preserve">10–11</x:t>
  </x:si>
  <x:si>
    <x:t xml:space="preserve">05</x:t>
  </x:si>
  <x:si>
    <x:t xml:space="preserve">Landlord</x:t>
  </x:si>
  <x:si>
    <x:t xml:space="preserve">E05_Landlord</x:t>
  </x:si>
  <x:si>
    <x:t xml:space="preserve">Capacity rent, property costs, NOI and equity return</x:t>
  </x:si>
  <x:si>
    <x:t xml:space="preserve">12–13</x:t>
  </x:si>
  <x:si>
    <x:t xml:space="preserve">06</x:t>
  </x:si>
  <x:si>
    <x:t xml:space="preserve">Power</x:t>
  </x:si>
  <x:si>
    <x:t xml:space="preserve">E06_Power</x:t>
  </x:si>
  <x:si>
    <x:t xml:space="preserve">IT energy, PUE, utility costs and expense recovery</x:t>
  </x:si>
  <x:si>
    <x:t xml:space="preserve">14–15</x:t>
  </x:si>
  <x:si>
    <x:t xml:space="preserve">07</x:t>
  </x:si>
  <x:si>
    <x:t xml:space="preserve">Integrated</x:t>
  </x:si>
  <x:si>
    <x:t xml:space="preserve">E07_Integrated</x:t>
  </x:si>
  <x:si>
    <x:t xml:space="preserve">Property economics versus vertically integrated cloud economics</x:t>
  </x:si>
  <x:si>
    <x:t xml:space="preserve">16–17</x:t>
  </x:si>
  <x:si>
    <x:t xml:space="preserve">08</x:t>
  </x:si>
  <x:si>
    <x:t xml:space="preserve">Sensitivity</x:t>
  </x:si>
  <x:si>
    <x:t xml:space="preserve">E08_Sensitivity</x:t>
  </x:si>
  <x:si>
    <x:t xml:space="preserve">Return sensitivity to assumptions and exit valuation</x:t>
  </x:si>
  <x:si>
    <x:t xml:space="preserve">18–19</x:t>
  </x:si>
  <x:si>
    <x:t xml:space="preserve">09</x:t>
  </x:si>
  <x:si>
    <x:t xml:space="preserve">Research</x:t>
  </x:si>
  <x:si>
    <x:t xml:space="preserve">E09_Research</x:t>
  </x:si>
  <x:si>
    <x:t xml:space="preserve">Source register and assumptions still requiring diligence</x:t>
  </x:si>
  <x:si>
    <x:t xml:space="preserve">20–21</x:t>
  </x:si>
  <x:si>
    <x:t xml:space="preserve">10</x:t>
  </x:si>
  <x:si>
    <x:t xml:space="preserve">Monthly CF</x:t>
  </x:si>
  <x:si>
    <x:t xml:space="preserve">E10_Monthly_Returns</x:t>
  </x:si>
  <x:si>
    <x:t xml:space="preserve">Monthly project and equity cash-flow mechanics</x:t>
  </x:si>
  <x:si>
    <x:t xml:space="preserve">22–23</x:t>
  </x:si>
  <x:si>
    <x:t xml:space="preserve">11</x:t>
  </x:si>
  <x:si>
    <x:t xml:space="preserve">Market</x:t>
  </x:si>
  <x:si>
    <x:t xml:space="preserve">E11_Market</x:t>
  </x:si>
  <x:si>
    <x:t xml:space="preserve">Market-sizing denominators and source comparability</x:t>
  </x:si>
  <x:si>
    <x:t xml:space="preserve">24–25</x:t>
  </x:si>
  <x:si>
    <x:t xml:space="preserve">12</x:t>
  </x:si>
  <x:si>
    <x:t xml:space="preserve">Tenant Credit</x:t>
  </x:si>
  <x:si>
    <x:t xml:space="preserve">E12_Tenant_Credit</x:t>
  </x:si>
  <x:si>
    <x:t xml:space="preserve">CoreWeave / Nebius — issuer metrics versus lease credit</x:t>
  </x:si>
  <x:si>
    <x:t xml:space="preserve">26–27</x:t>
  </x:si>
  <x:si>
    <x:t xml:space="preserve">13</x:t>
  </x:si>
  <x:si>
    <x:t xml:space="preserve">GMI Case</x:t>
  </x:si>
  <x:si>
    <x:t xml:space="preserve">E13_GMI_Case</x:t>
  </x:si>
  <x:si>
    <x:t xml:space="preserve">Reported financing compared with enforceable tenant support</x:t>
  </x:si>
  <x:si>
    <x:t xml:space="preserve">28–29</x:t>
  </x:si>
  <x:si>
    <x:t xml:space="preserve">14</x:t>
  </x:si>
  <x:si>
    <x:t xml:space="preserve">Lease Screen</x:t>
  </x:si>
  <x:si>
    <x:t xml:space="preserve">E14_Lease</x:t>
  </x:si>
  <x:si>
    <x:t xml:space="preserve">Contract terms, delivery obligations and lender protections</x:t>
  </x:si>
  <x:si>
    <x:t xml:space="preserve">30–31</x:t>
  </x:si>
  <x:si>
    <x:t xml:space="preserve">15</x:t>
  </x:si>
  <x:si>
    <x:t xml:space="preserve">Downside</x:t>
  </x:si>
  <x:si>
    <x:t xml:space="preserve">E15_Downside</x:t>
  </x:si>
  <x:si>
    <x:t xml:space="preserve">Power delays, rent interruption and refinancing liquidity</x:t>
  </x:si>
  <x:si>
    <x:t xml:space="preserve">32–33</x:t>
  </x:si>
  <x:si>
    <x:t xml:space="preserve">16</x:t>
  </x:si>
  <x:si>
    <x:t xml:space="preserve">Trace</x:t>
  </x:si>
  <x:si>
    <x:t xml:space="preserve">E16_Trace</x:t>
  </x:si>
  <x:si>
    <x:t xml:space="preserve">Model-output references and calculation traceability</x:t>
  </x:si>
  <x:si>
    <x:t xml:space="preserve">34–35</x:t>
  </x:si>
  <x:si>
    <x:t xml:space="preserve">17</x:t>
  </x:si>
  <x:si>
    <x:t xml:space="preserve">Checks</x:t>
  </x:si>
  <x:si>
    <x:t xml:space="preserve">E17_Checks</x:t>
  </x:si>
  <x:si>
    <x:t xml:space="preserve">Numerical and model-boundary audit controls</x:t>
  </x:si>
  <x:si>
    <x:t xml:space="preserve">36–37</x:t>
  </x:si>
  <x:si>
    <x:t xml:space="preserve">PRELIMINARY READING ROUTE  |  Pages 1–2 cover and contents; page 3 reader guide; pages 4–37 paired technical model and exhibit sheets.</x:t>
  </x:si>
  <x:si>
    <x:t xml:space="preserve">MODEL KEY  |  Blue = inputs; black = formulas; green = worksheet links. Source references appear in the Research tab.</x:t>
  </x:si>
  <x:si>
    <x:t xml:space="preserve">INDEPENDENT STUDY  |  The 10 MW scenario is hypothetical. Company case studies are not endorsements, actual leases or credit ratings.</x:t>
  </x:si>
  <x:si>
    <x:t xml:space="preserve">GII  |  GLOBAL INNOVATION INSTITUTE</x:t>
  </x:si>
  <x:si>
    <x:t xml:space="preserve">INDEPENDENT UNDERWRITING RESEARCH</x:t>
  </x:si>
  <x:si>
    <x:t xml:space="preserve">GII THESIS | Separate demand, physical delivery and cash conversion. Ask who controls power, who funds the waiting period, and who has an enforceable claim on the cash.</x:t>
  </x:si>
  <x:si>
    <x:t xml:space="preserve">HOW TO USE THE PUBLICATION</x:t>
  </x:si>
  <x:si>
    <x:t xml:space="preserve">WORKING SHEET</x:t>
  </x:si>
  <x:si>
    <x:t xml:space="preserve">NEXT TAB / EXHIBIT</x:t>
  </x:si>
  <x:si>
    <x:t xml:space="preserve">PUBLICATION CONTROL</x:t>
  </x:si>
  <x:si>
    <x:t xml:space="preserve">Step 1  |  Read the 10 MW investment summary</x:t>
  </x:si>
  <x:si>
    <x:t xml:space="preserve">The starting landlord case is hypothetical.</x:t>
  </x:si>
  <x:si>
    <x:t xml:space="preserve">Step 2  |  Edit blue assumption cells</x:t>
  </x:si>
  <x:si>
    <x:t xml:space="preserve">Yellow inputs are assumptions, not bids.</x:t>
  </x:si>
  <x:si>
    <x:t xml:space="preserve">Step 3  |  Check source of each metric</x:t>
  </x:si>
  <x:si>
    <x:t xml:space="preserve">Development / Power</x:t>
  </x:si>
  <x:si>
    <x:t xml:space="preserve">E03 / E06</x:t>
  </x:si>
  <x:si>
    <x:t xml:space="preserve">Exhibit figures link to live working cells.</x:t>
  </x:si>
  <x:si>
    <x:t xml:space="preserve">Step 4  |  Underwrite collectible rent</x:t>
  </x:si>
  <x:si>
    <x:t xml:space="preserve">Landlord / Lease Screen</x:t>
  </x:si>
  <x:si>
    <x:t xml:space="preserve">E05 / E14</x:t>
  </x:si>
  <x:si>
    <x:t xml:space="preserve">The tenant and guarantees are hypothetical.</x:t>
  </x:si>
  <x:si>
    <x:t xml:space="preserve">Step 5  |  Review tenants and financing</x:t>
  </x:si>
  <x:si>
    <x:t xml:space="preserve">Tenant Credit / GMI Case</x:t>
  </x:si>
  <x:si>
    <x:t xml:space="preserve">E12 / E13</x:t>
  </x:si>
  <x:si>
    <x:t xml:space="preserve">Public issuer figures are not lease guarantees.</x:t>
  </x:si>
  <x:si>
    <x:t xml:space="preserve">Step 6  |  Test downside and model controls</x:t>
  </x:si>
  <x:si>
    <x:t xml:space="preserve">Downside / Checks</x:t>
  </x:si>
  <x:si>
    <x:t xml:space="preserve">E15 / E17</x:t>
  </x:si>
  <x:si>
    <x:t xml:space="preserve">Scenario and validation limits remain explicit.</x:t>
  </x:si>
  <x:si>
    <x:t xml:space="preserve">CORE NUMERICAL CASE</x:t>
  </x:si>
  <x:si>
    <x:t xml:space="preserve">ASSUMPTION / RESULT</x:t>
  </x:si>
  <x:si>
    <x:t xml:space="preserve">LIVE MODEL REFERENCE</x:t>
  </x:si>
  <x:si>
    <x:t xml:space="preserve">WHAT IS INCLUDED</x:t>
  </x:si>
  <x:si>
    <x:t xml:space="preserve">Deliverable critical IT capacity</x:t>
  </x:si>
  <x:si>
    <x:t xml:space="preserve">Inputs!D7</x:t>
  </x:si>
  <x:si>
    <x:t xml:space="preserve">Rated IT MW, not grid service MW</x:t>
  </x:si>
  <x:si>
    <x:t xml:space="preserve">Pre-financing developer uses</x:t>
  </x:si>
  <x:si>
    <x:t xml:space="preserve">Development!D25</x:t>
  </x:si>
  <x:si>
    <x:t xml:space="preserve">Land, shell, power, cooling, soft costs</x:t>
  </x:si>
  <x:si>
    <x:t xml:space="preserve">All-in developer uses</x:t>
  </x:si>
  <x:si>
    <x:t xml:space="preserve">Development!D31</x:t>
  </x:si>
  <x:si>
    <x:t xml:space="preserve">Construction financing added; excludes GPUs</x:t>
  </x:si>
  <x:si>
    <x:t xml:space="preserve">Year-one reserved capacity rent</x:t>
  </x:si>
  <x:si>
    <x:t xml:space="preserve">Landlord!D9</x:t>
  </x:si>
  <x:si>
    <x:t xml:space="preserve">Full 10 MW billability assumed</x:t>
  </x:si>
  <x:si>
    <x:t xml:space="preserve">Year-one NOI</x:t>
  </x:si>
  <x:si>
    <x:t xml:space="preserve">Landlord!D21</x:t>
  </x:si>
  <x:si>
    <x:t xml:space="preserve">Before property reserve and debt service</x:t>
  </x:si>
  <x:si>
    <x:t xml:space="preserve">Equity cash flow in year one</x:t>
  </x:si>
  <x:si>
    <x:t xml:space="preserve">Landlord!D25</x:t>
  </x:si>
  <x:si>
    <x:t xml:space="preserve">Interest-only operating debt; before taxes</x:t>
  </x:si>
  <x:si>
    <x:t xml:space="preserve">GII | DATA CENTER REAL ESTATE UNDERWRITING 101</x:t>
  </x:si>
  <x:si>
    <x:t xml:space="preserve">GII CONTROL-POINT LENS | AI infrastructure value is captured where capital commitments meet scarce physical infrastructure: power, land, interconnection, lease credit, financing, and customer cash flow.</x:t>
  </x:si>
  <x:si>
    <x:t xml:space="preserve">CASE BOUNDARY | Independent landlord owns land and commissioned facility. Illustrative Neocloud Tenant owns/finances computers. Gross capacity rent includes non-power expenses; electricity recovered at cost. No actual company lease.</x:t>
  </x:si>
  <x:si>
    <x:t xml:space="preserve">BASE CASE | USD unless otherwise stated</x:t>
  </x:si>
  <x:si>
    <x:t xml:space="preserve">Critical IT capacity</x:t>
  </x:si>
  <x:si>
    <x:t xml:space="preserve">Developer equity</x:t>
  </x:si>
  <x:si>
    <x:t xml:space="preserve">Debt principal</x:t>
  </x:si>
  <x:si>
    <x:t xml:space="preserve">Year-1 capacity rent</x:t>
  </x:si>
  <x:si>
    <x:t xml:space="preserve">Year-1 electricity</x:t>
  </x:si>
  <x:si>
    <x:t xml:space="preserve">Year-1 property NOI</x:t>
  </x:si>
  <x:si>
    <x:t xml:space="preserve">Year-1 cash to equity</x:t>
  </x:si>
  <x:si>
    <x:t xml:space="preserve">NOI debt coverage</x:t>
  </x:si>
  <x:si>
    <x:t xml:space="preserve">After-reserve debt coverage</x:t>
  </x:si>
  <x:si>
    <x:t xml:space="preserve">Year-1 cash-on-cash</x:t>
  </x:si>
  <x:si>
    <x:t xml:space="preserve">Unlevered annualized IRR</x:t>
  </x:si>
  <x:si>
    <x:t xml:space="preserve">Levered annualized IRR</x:t>
  </x:si>
  <x:si>
    <x:t xml:space="preserve">Equity cash multiple</x:t>
  </x:si>
  <x:si>
    <x:t xml:space="preserve">READING ROUTE</x:t>
  </x:si>
  <x:si>
    <x:t xml:space="preserve">Read blue Inputs values first. Yellow = scenario needing deal evidence. Sources are in the Research sheet; the model is not a development bid.</x:t>
  </x:si>
  <x:si>
    <x:t xml:space="preserve">Development + Construction</x:t>
  </x:si>
  <x:si>
    <x:t xml:space="preserve">Line-item uses, financing, monthly debt draws and equity-funded interest.</x:t>
  </x:si>
  <x:si>
    <x:t xml:space="preserve">MW vs kWh, 85% electrical loading, PUE and the $16.10m annual energy bill.</x:t>
  </x:si>
  <x:si>
    <x:t xml:space="preserve">Landlord + Monthly CF</x:t>
  </x:si>
  <x:si>
    <x:t xml:space="preserve">10-year income/cash flow, monthly IRR, sale and debt repayment.</x:t>
  </x:si>
  <x:si>
    <x:t xml:space="preserve">Optional owner + GPU cloud case; internal rent eliminates and IT capital is separate.</x:t>
  </x:si>
  <x:si>
    <x:t xml:space="preserve">Sensitivity + Research</x:t>
  </x:si>
  <x:si>
    <x:t xml:space="preserve">Sensitivity + Downside isolate rent/cost/exit and liquidity shocks. Market, Tenant Credit, GMI Case and Lease Screen make the workbook a standalone primer.</x:t>
  </x:si>
  <x:si>
    <x:t xml:space="preserve">Color key: BLUE = editable assumption; GREEN = formula linking worksheets; BLACK = within-sheet calculation. Yellow input cells need validation. Zeros display as dashes; negatives use red parentheses.</x:t>
  </x:si>
  <x:si>
    <x:t xml:space="preserve">Land is purchased at month 0 in this model. Contributed, already-owned land still has opportunity cost, but incremental cash equity and allowable loan proceeds would require a different sources-and-uses schedule.</x:t>
  </x:si>
  <x:si>
    <x:t xml:space="preserve">HOW TO READ THIS TAB | Chapters 1–14</x:t>
  </x:si>
  <x:si>
    <x:t xml:space="preserve">READING ROUTE | Start → Market → Inputs → Development → Construction → Power → Landlord → Tenant Credit → GMI Case → Lease Screen → Sensitivity / Downside → Monthly CF → Trace → Checks.</x:t>
  </x:si>
  <x:si>
    <x:t xml:space="preserve">TRACEABILITY | Trace maps report exhibits to sheet-and-cell references. Checks tests arithmetic and structural constraints, not commercial feasibility. No external workbook links or macros are required.</x:t>
  </x:si>
  <x:si>
    <x:t xml:space="preserve">LIMITS | No site title, power agreement, construction bid, signed lease, guarantee, tax advice or lending commitment has been obtained. Do not mistake a calculated return for an investable offer.</x:t>
  </x:si>
  <x:si>
    <x:t xml:space="preserve">AUTHOR | Dr. Cervantes Lee • Global Innovation Institute • MIT MSRED • clee@giinow.org • https://www.giinow.org/research</x:t>
  </x:si>
  <x:si>
    <x:t xml:space="preserve">GII / GLOBAL INNOVATION INSTITUTE</x:t>
  </x:si>
  <x:si>
    <x:t xml:space="preserve">10 MW BASE CASE</x:t>
  </x:si>
  <x:si>
    <x:t xml:space="preserve">EXHIBIT 01  |  INVESTMENT AT A GLANCE</x:t>
  </x:si>
  <x:si>
    <x:t xml:space="preserve">Where does the 10 MW developer earn returns and bear risk?</x:t>
  </x:si>
  <x:si>
    <x:t xml:space="preserve">THE GII CONTROL-POINT LENS  |  Value follows enforceable control of power delivery, site rights, rentable capacity and customer cash—not announced GPU or MW totals.</x:t>
  </x:si>
  <x:si>
    <x:t xml:space="preserve">INVESTOR METRIC / QUESTION</x:t>
  </x:si>
  <x:si>
    <x:t xml:space="preserve">UNDERWRITING INTERPRETATION</x:t>
  </x:si>
  <x:si>
    <x:t xml:space="preserve">THE 10 MW CASE | INVESTMENT AT A GLANCE</x:t>
  </x:si>
  <x:si>
    <x:t xml:space="preserve">Deliverable IT load; utility commitment must be verified.</x:t>
  </x:si>
  <x:si>
    <x:t xml:space="preserve">Land, facility and construction finance; no GPUs.</x:t>
  </x:si>
  <x:si>
    <x:t xml:space="preserve">Required cash/equity under the modeled funding.</x:t>
  </x:si>
  <x:si>
    <x:t xml:space="preserve">Construction/operating debt</x:t>
  </x:si>
  <x:si>
    <x:t xml:space="preserve">Interest-only operations assumption.</x:t>
  </x:si>
  <x:si>
    <x:t xml:space="preserve">Year-one reserved-capacity rent</x:t>
  </x:si>
  <x:si>
    <x:t xml:space="preserve">Rental income before property operating costs.</x:t>
  </x:si>
  <x:si>
    <x:t xml:space="preserve">Year-one electricity pass-through</x:t>
  </x:si>
  <x:si>
    <x:t xml:space="preserve">Reimbursed at cost; not landlord margin.</x:t>
  </x:si>
  <x:si>
    <x:t xml:space="preserve">Year-one property NOI</x:t>
  </x:si>
  <x:si>
    <x:t xml:space="preserve">Rent less non-power property operating costs.</x:t>
  </x:si>
  <x:si>
    <x:t xml:space="preserve">Year-one cash to equity</x:t>
  </x:si>
  <x:si>
    <x:t xml:space="preserve">After reserve and interest; before taxes.</x:t>
  </x:si>
  <x:si>
    <x:t xml:space="preserve">INVESTMENT RESULTS | ILLUSTRATIVE, NOT A QUOTATION</x:t>
  </x:si>
  <x:si>
    <x:t xml:space="preserve">Reserve-adjusted cash versus interest expense.</x:t>
  </x:si>
  <x:si>
    <x:t xml:space="preserve">Year-one cash-on-cash</x:t>
  </x:si>
  <x:si>
    <x:t xml:space="preserve">Based on initial developer equity.</x:t>
  </x:si>
  <x:si>
    <x:t xml:space="preserve">Includes construction and modeled terminal sale.</x:t>
  </x:si>
  <x:si>
    <x:t xml:space="preserve">Especially sensitive to debt and exit assumptions.</x:t>
  </x:si>
  <x:si>
    <x:t xml:space="preserve">WHAT MATTERS BEFORE APPROVING CAPITAL</x:t>
  </x:si>
  <x:si>
    <x:t xml:space="preserve">Land title, power and permitted IT MW</x:t>
  </x:si>
  <x:si>
    <x:t xml:space="preserve">EVIDENCE</x:t>
  </x:si>
  <x:si>
    <x:t xml:space="preserve">Independent verification required before investment.</x:t>
  </x:si>
  <x:si>
    <x:t xml:space="preserve">Lease entity, guarantee and acceptance</x:t>
  </x:si>
  <x:si>
    <x:t xml:space="preserve">Recognizable logos are not enforceable rent support.</x:t>
  </x:si>
  <x:si>
    <x:t xml:space="preserve">Exit cap, re-leasing and technology fit</x:t>
  </x:si>
  <x:si>
    <x:t xml:space="preserve">Terminal value is a scenario, not guaranteed liquidity.</x:t>
  </x:si>
  <x:si>
    <x:t xml:space="preserve">GII RESEARCH | INDEPENDENT TEACHING CASE  •  NOT AN EXECUTED GMI CLOUD TRANSACTION  •  SEE WORKING SHEET AND RESEARCH SOURCES</x:t>
  </x:si>
  <x:si>
    <x:t xml:space="preserve">INPUTS | Definitions before dollars</x:t>
  </x:si>
  <x:si>
    <x:t xml:space="preserve">Blue values are model inputs. Yellow highlights require deal-specific validation. All amounts USD; source notes are in the Research sheet.</x:t>
  </x:si>
  <x:si>
    <x:t xml:space="preserve">UNDERWRITING DRIVER</x:t>
  </x:si>
  <x:si>
    <x:t xml:space="preserve">Value</x:t>
  </x:si>
  <x:si>
    <x:t xml:space="preserve">Unit</x:t>
  </x:si>
  <x:si>
    <x:t xml:space="preserve">Basis / scope</x:t>
  </x:si>
  <x:si>
    <x:t xml:space="preserve">01 | Physical size and model conventions</x:t>
  </x:si>
  <x:si>
    <x:t xml:space="preserve">MW</x:t>
  </x:si>
  <x:si>
    <x:t xml:space="preserve">GII case size. This is IT capacity, not utility service MW.</x:t>
  </x:si>
  <x:si>
    <x:t xml:space="preserve">Kilowatts per megawatt</x:t>
  </x:si>
  <x:si>
    <x:t xml:space="preserve">kW / MW</x:t>
  </x:si>
  <x:si>
    <x:t xml:space="preserve">Unit conversion.</x:t>
  </x:si>
  <x:si>
    <x:t xml:space="preserve">Illustrative land area</x:t>
  </x:si>
  <x:si>
    <x:t xml:space="preserve">acres</x:t>
  </x:si>
  <x:si>
    <x:t xml:space="preserve">Planning placeholder, not a parcel or engineering layout.</x:t>
  </x:si>
  <x:si>
    <x:t xml:space="preserve">Land opportunity cost per acre</x:t>
  </x:si>
  <x:si>
    <x:t xml:space="preserve">$ / acre</x:t>
  </x:si>
  <x:si>
    <x:t xml:space="preserve">GII assumption; requires appraisal or purchase contract. Owned land is not free.</x:t>
  </x:si>
  <x:si>
    <x:t xml:space="preserve">Illustrative gross building area</x:t>
  </x:si>
  <x:si>
    <x:t xml:space="preserve">gross SF</x:t>
  </x:si>
  <x:si>
    <x:t xml:space="preserve">Planning placeholder. Does not establish a universal SF/MW ratio.</x:t>
  </x:si>
  <x:si>
    <x:t xml:space="preserve">Construction duration</x:t>
  </x:si>
  <x:si>
    <x:t xml:space="preserve">months</x:t>
  </x:si>
  <x:si>
    <x:t xml:space="preserve">MODEL STRUCTURE: fixed 24-month build; do not change without extending Construction and Monthly CF.</x:t>
  </x:si>
  <x:si>
    <x:t xml:space="preserve">Days in model year</x:t>
  </x:si>
  <x:si>
    <x:t xml:space="preserve">days</x:t>
  </x:si>
  <x:si>
    <x:t xml:space="preserve">Non-leap-year convention.</x:t>
  </x:si>
  <x:si>
    <x:t xml:space="preserve">Hours in day</x:t>
  </x:si>
  <x:si>
    <x:t xml:space="preserve">hours</x:t>
  </x:si>
  <x:si>
    <x:t xml:space="preserve">Unit convention.</x:t>
  </x:si>
  <x:si>
    <x:t xml:space="preserve">Annual hours</x:t>
  </x:si>
  <x:si>
    <x:t xml:space="preserve">365 × 24; use actual hours for leap years / partial periods.</x:t>
  </x:si>
  <x:si>
    <x:t xml:space="preserve">Months in year</x:t>
  </x:si>
  <x:si>
    <x:t xml:space="preserve">02 | Lease, power, financing and return assumptions</x:t>
  </x:si>
  <x:si>
    <x:t xml:space="preserve">Year-1 gross capacity rent</x:t>
  </x:si>
  <x:si>
    <x:t xml:space="preserve">$ / IT kW / month</x:t>
  </x:si>
  <x:si>
    <x:t xml:space="preserve">GII underwriting assumption; includes non-power facility operating costs, excludes electricity. CBRE range is context, not a 10 MW lease quote.</x:t>
  </x:si>
  <x:si>
    <x:t xml:space="preserve">Contractually billable capacity</x:t>
  </x:si>
  <x:si>
    <x:t xml:space="preserve">fraction</x:t>
  </x:si>
  <x:si>
    <x:t xml:space="preserve">Assumes full 10 MW prelease and collection starting at acceptance; no free rent or phased ramp.</x:t>
  </x:si>
  <x:si>
    <x:t xml:space="preserve">Annual contractual rent escalation</x:t>
  </x:si>
  <x:si>
    <x:t xml:space="preserve">% / year</x:t>
  </x:si>
  <x:si>
    <x:t xml:space="preserve">Illustrative contract term, not a GMI agreement.</x:t>
  </x:si>
  <x:si>
    <x:t xml:space="preserve">Annual non-power cost escalation</x:t>
  </x:si>
  <x:si>
    <x:t xml:space="preserve">Illustrative operating assumption.</x:t>
  </x:si>
  <x:si>
    <x:t xml:space="preserve">Annual electricity price escalation</x:t>
  </x:si>
  <x:si>
    <x:t xml:space="preserve">Scenario, not a utility forecast.</x:t>
  </x:si>
  <x:si>
    <x:t xml:space="preserve">Average IT electrical load / capacity</x:t>
  </x:si>
  <x:si>
    <x:t xml:space="preserve">Electrical loading across ALL 10 MW. Not lease occupancy or GPU paid utilization.</x:t>
  </x:si>
  <x:si>
    <x:t xml:space="preserve">Annual energy PUE assumption</x:t>
  </x:si>
  <x:si>
    <x:t xml:space="preserve">total / IT energy</x:t>
  </x:si>
  <x:si>
    <x:t xml:space="preserve">Illustrative site PUE. NOT a verified GMI result or a design guarantee.</x:t>
  </x:si>
  <x:si>
    <x:t xml:space="preserve">Blended electricity benchmark</x:t>
  </x:si>
  <x:si>
    <x:t xml:space="preserve">$ / kWh</x:t>
  </x:si>
  <x:si>
    <x:t xml:space="preserve">SVP CB-6 published class-average reference effective Jan 1, 2026. NOT a site-specific marginal tariff; do not add demand charges again.</x:t>
  </x:si>
  <x:si>
    <x:t xml:space="preserve">Assumed lease duration</x:t>
  </x:si>
  <x:si>
    <x:t xml:space="preserve">years</x:t>
  </x:si>
  <x:si>
    <x:t xml:space="preserve">Illustrative lease. Model exits after 10 operating years; five years then remain.</x:t>
  </x:si>
  <x:si>
    <x:t xml:space="preserve">Operating hold period</x:t>
  </x:si>
  <x:si>
    <x:t xml:space="preserve">MODEL STRUCTURE: fixed 10-year hold; Year 11 is used only for terminal NOI.</x:t>
  </x:si>
  <x:si>
    <x:t xml:space="preserve">Terminal property capitalization rate</x:t>
  </x:si>
  <x:si>
    <x:t xml:space="preserve">Illustrative valuation sensitivity; NOT a market appraisal.</x:t>
  </x:si>
  <x:si>
    <x:t xml:space="preserve">Sale transaction costs</x:t>
  </x:si>
  <x:si>
    <x:t xml:space="preserve">Scenario transaction cost.</x:t>
  </x:si>
  <x:si>
    <x:t xml:space="preserve">Debt / eligible pre-financing cost</x:t>
  </x:si>
  <x:si>
    <x:t xml:space="preserve">Debt finances 60% of $194.9m eligible costs. Interest/fees funded with equity; NOT 60% of all-in cost.</x:t>
  </x:si>
  <x:si>
    <x:t xml:space="preserve">Construction loan interest rate</x:t>
  </x:si>
  <x:si>
    <x:t xml:space="preserve">Illustrative floating-equivalent simple rate; no actual lender quote.</x:t>
  </x:si>
  <x:si>
    <x:t xml:space="preserve">Operating loan interest rate</x:t>
  </x:si>
  <x:si>
    <x:t xml:space="preserve">Assumed same-principal conversion to 10-year interest-only debt; no refinancing fee. Not a lender commitment.</x:t>
  </x:si>
  <x:si>
    <x:t xml:space="preserve">Loan origination fee</x:t>
  </x:si>
  <x:si>
    <x:t xml:space="preserve">% of principal</x:t>
  </x:si>
  <x:si>
    <x:t xml:space="preserve">Paid by equity at month 0.</x:t>
  </x:si>
  <x:si>
    <x:t xml:space="preserve">Annual facility capital reserve</x:t>
  </x:si>
  <x:si>
    <x:t xml:space="preserve">$ / year</x:t>
  </x:si>
  <x:si>
    <x:t xml:space="preserve">Recurring economic allowance deducted below NOI; spent annually, no separate reserve release at exit.</x:t>
  </x:si>
  <x:si>
    <x:t xml:space="preserve">Owner administration / unrecovered cost</x:t>
  </x:si>
  <x:si>
    <x:t xml:space="preserve">Nonrecoverable asset management and administration allowance.</x:t>
  </x:si>
  <x:si>
    <x:t xml:space="preserve">03 | Development cost inputs</x:t>
  </x:si>
  <x:si>
    <x:t xml:space="preserve">Sitework, civil and utility yards</x:t>
  </x:si>
  <x:si>
    <x:t xml:space="preserve">$</x:t>
  </x:si>
  <x:si>
    <x:t xml:space="preserve">GII preliminary budget allowance; not a bid.</x:t>
  </x:si>
  <x:si>
    <x:t xml:space="preserve">Building shell unit cost</x:t>
  </x:si>
  <x:si>
    <x:t xml:space="preserve">$ / gross SF</x:t>
  </x:si>
  <x:si>
    <x:t xml:space="preserve">Shell only; excludes data center electrical/cooling systems.</x:t>
  </x:si>
  <x:si>
    <x:t xml:space="preserve">Utility connection / substation</x:t>
  </x:si>
  <x:si>
    <x:t xml:space="preserve">Preliminary allowance; scope and energization require utility engineering.</x:t>
  </x:si>
  <x:si>
    <x:t xml:space="preserve">Electrical distribution / UPS / batteries</x:t>
  </x:si>
  <x:si>
    <x:t xml:space="preserve">Facility electrical systems; excludes GPU servers.</x:t>
  </x:si>
  <x:si>
    <x:t xml:space="preserve">Backup generators / fuel systems</x:t>
  </x:si>
  <x:si>
    <x:t xml:space="preserve">Facility redundancy allowance; backup nameplate MW is not extra IT capacity.</x:t>
  </x:si>
  <x:si>
    <x:t xml:space="preserve">Cooling plant / facility liquid loop</x:t>
  </x:si>
  <x:si>
    <x:t xml:space="preserve">Includes facility cooling/CDUs allowance; final rack demarcation must be engineered.</x:t>
  </x:si>
  <x:si>
    <x:t xml:space="preserve">Fire, controls, security and fiber paths</x:t>
  </x:si>
  <x:si>
    <x:t xml:space="preserve">Facility systems, not the GPU network equipment.</x:t>
  </x:si>
  <x:si>
    <x:t xml:space="preserve">Integrated testing / commissioning</x:t>
  </x:si>
  <x:si>
    <x:t xml:space="preserve">Customer-ready acceptance testing allowance.</x:t>
  </x:si>
  <x:si>
    <x:t xml:space="preserve">Design, engineering and permitting</x:t>
  </x:si>
  <x:si>
    <x:t xml:space="preserve">Preliminary soft-cost allowance.</x:t>
  </x:si>
  <x:si>
    <x:t xml:space="preserve">Legal and development management</x:t>
  </x:si>
  <x:si>
    <x:t xml:space="preserve">Illustrative direct professional cost; no separate developer profit assumed.</x:t>
  </x:si>
  <x:si>
    <x:t xml:space="preserve">Lease procurement / transaction closing</x:t>
  </x:si>
  <x:si>
    <x:t xml:space="preserve">Illustrative allowance; no free rent or additional tenant incentive.</x:t>
  </x:si>
  <x:si>
    <x:t xml:space="preserve">Construction insurance / tax carry</x:t>
  </x:si>
  <x:si>
    <x:t xml:space="preserve">Two-year allowance; no income taxes included.</x:t>
  </x:si>
  <x:si>
    <x:t xml:space="preserve">Hard-cost contingency</x:t>
  </x:si>
  <x:si>
    <x:t xml:space="preserve">Applied to sitework + shell + facility infrastructure/testing; not land.</x:t>
  </x:si>
  <x:si>
    <x:t xml:space="preserve">04 | Annual property operating costs</x:t>
  </x:si>
  <x:si>
    <x:t xml:space="preserve">Property taxes and assessments</x:t>
  </x:si>
  <x:si>
    <x:t xml:space="preserve">Dollar allowance, not a statutory tax-rate estimate or assessed value.</x:t>
  </x:si>
  <x:si>
    <x:t xml:space="preserve">Property insurance</x:t>
  </x:si>
  <x:si>
    <x:t xml:space="preserve">Illustrative insured-property premium allowance.</x:t>
  </x:si>
  <x:si>
    <x:t xml:space="preserve">Electrical / cooling maintenance</x:t>
  </x:si>
  <x:si>
    <x:t xml:space="preserve">Routine facility maintenance; excludes GPU maintenance and capital replacements.</x:t>
  </x:si>
  <x:si>
    <x:t xml:space="preserve">Facility staffing and security</x:t>
  </x:si>
  <x:si>
    <x:t xml:space="preserve">Illustrative facility service cost.</x:t>
  </x:si>
  <x:si>
    <x:t xml:space="preserve">Water, consumables, generator testing</x:t>
  </x:si>
  <x:si>
    <x:t xml:space="preserve">Non-electric facility operating allowance.</x:t>
  </x:si>
  <x:si>
    <x:t xml:space="preserve">05 | OPTIONAL cloud-operator teaching assumptions</x:t>
  </x:si>
  <x:si>
    <x:t xml:space="preserve">Illustrative installed GPU count</x:t>
  </x:si>
  <x:si>
    <x:t xml:space="preserve">GPUs</x:t>
  </x:si>
  <x:si>
    <x:t xml:space="preserve">Separate hypothetical fleet input; NOT inferred from 10 MW or GMI inventory.</x:t>
  </x:si>
  <x:si>
    <x:t xml:space="preserve">Installed server cost allocated per GPU</x:t>
  </x:si>
  <x:si>
    <x:t xml:space="preserve">$ / GPU</x:t>
  </x:si>
  <x:si>
    <x:t xml:space="preserve">Includes allocated server/CPU/chassis cost. NOT a NVIDIA price quote.</x:t>
  </x:si>
  <x:si>
    <x:t xml:space="preserve">Cluster network and storage equipment</x:t>
  </x:si>
  <x:si>
    <x:t xml:space="preserve">Additional IT equipment, separate from facility fiber paths.</x:t>
  </x:si>
  <x:si>
    <x:t xml:space="preserve">Initial cloud working capital</x:t>
  </x:si>
  <x:si>
    <x:t xml:space="preserve">Illustrative initial cash requirement.</x:t>
  </x:si>
  <x:si>
    <x:t xml:space="preserve">Realized compute revenue per paid hour</x:t>
  </x:si>
  <x:si>
    <x:t xml:space="preserve">$ / GPU-hour</x:t>
  </x:si>
  <x:si>
    <x:t xml:space="preserve">Hypothetical blended realization; NOT a GMI list price or contract.</x:t>
  </x:si>
  <x:si>
    <x:t xml:space="preserve">Revenue-producing GPU-hour fraction</x:t>
  </x:si>
  <x:si>
    <x:t xml:space="preserve">Paid hours / installed GPU hours; deliberately distinct from electrical load.</x:t>
  </x:si>
  <x:si>
    <x:t xml:space="preserve">IT renewal-cycle assumption</x:t>
  </x:si>
  <x:si>
    <x:t xml:space="preserve">Zero-residual replacement allowance; NOT GMI depreciation policy.</x:t>
  </x:si>
  <x:si>
    <x:t xml:space="preserve">Cloud staff / software / business overhead</x:t>
  </x:si>
  <x:si>
    <x:t xml:space="preserve">Illustrative compute-business cost excluding property operations.</x:t>
  </x:si>
  <x:si>
    <x:t xml:space="preserve">IT hardware support / maintenance</x:t>
  </x:si>
  <x:si>
    <x:t xml:space="preserve">Cloud hardware servicing; not facility maintenance.</x:t>
  </x:si>
  <x:si>
    <x:t xml:space="preserve">Scope: U.S. City of Santa Clara-style site using SVP solely as a teaching rate reference. Do not apply this utility benchmark to all Santa Clara County sites. No actual site or GMI contract is represented.</x:t>
  </x:si>
  <x:si>
    <x:t xml:space="preserve">Electricity-price sensitivity increment</x:t>
  </x:si>
  <x:si>
    <x:t xml:space="preserve">GII illustrative one-cent increment, used only to quantify the power-bill sensitivity.</x:t>
  </x:si>
  <x:si>
    <x:t xml:space="preserve">HOW TO READ THIS TAB | Chapters 3, 6–9, 12</x:t>
  </x:si>
  <x:si>
    <x:t xml:space="preserve">READ | Edit the blue values in column D. Units are in E; the complete assumption scope and validation requirement are in F. The paired exhibit is a reading aid, not an input screen.</x:t>
  </x:si>
  <x:si>
    <x:t xml:space="preserve">TRACE | Physical: D7:D16. Lease/power/finance: D19:D36. Development: D39:D51. Operating: D54:D58. Compute appendix: D61:D69. Source types: A = GII assumption; S = public source; P = GII field research or referenced report.</x:t>
  </x:si>
  <x:si>
    <x:t xml:space="preserve">GUARDRAIL | D12=24 months and D28=10 operating years are structural. Changing either does NOT extend schedules. Restore them or rebuild timing; Checks flags violations.</x:t>
  </x:si>
  <x:si>
    <x:t xml:space="preserve">READ THE LEASE | D20 measures billable reserved capacity, D24 measures electrical load, D66 measures paid GPU-hours. They describe different things and must not be linked automatically.</x:t>
  </x:si>
  <x:si>
    <x:t xml:space="preserve">NO FREE LAND | D9 × D10 is economic land value. The base case purchases it. A contributed-land cash draw and sponsor-equity schedule is not modeled.</x:t>
  </x:si>
  <x:si>
    <x:t xml:space="preserve">EXHIBIT 02  |  THE UNDERWRITING ASSUMPTIONS</x:t>
  </x:si>
  <x:si>
    <x:t xml:space="preserve">Which quantities are evidence and which are editable scenario assumptions?</x:t>
  </x:si>
  <x:si>
    <x:t xml:space="preserve">THE GII CONTROL-POINT LENS  |  Property returns depend on assumptions. Separate published market evidence from adjustable 10 MW teaching-case parameters.</x:t>
  </x:si>
  <x:si>
    <x:t xml:space="preserve">PROPERTY AND DELIVERABILITY</x:t>
  </x:si>
  <x:si>
    <x:t xml:space="preserve">Rated IT, NOT total utility draw.</x:t>
  </x:si>
  <x:si>
    <x:t xml:space="preserve">Land area</x:t>
  </x:si>
  <x:si>
    <x:t xml:space="preserve">Illustrative, no actual site selected.</x:t>
  </x:si>
  <x:si>
    <x:t xml:space="preserve">Value land even when contributed.</x:t>
  </x:si>
  <x:si>
    <x:t xml:space="preserve">Gross building area</x:t>
  </x:si>
  <x:si>
    <x:t xml:space="preserve">No universal MW-to-SF conversion.</x:t>
  </x:si>
  <x:si>
    <x:t xml:space="preserve">Construction period</x:t>
  </x:si>
  <x:si>
    <x:t xml:space="preserve">Structural 24 months; do not edit without rebuilding.</x:t>
  </x:si>
  <x:si>
    <x:t xml:space="preserve">RENT, POWER AND CAPITAL</x:t>
  </x:si>
  <x:si>
    <x:t xml:space="preserve">Capacity rent per kW-month</x:t>
  </x:si>
  <x:si>
    <x:t xml:space="preserve">Non-power facility expenses included.</x:t>
  </x:si>
  <x:si>
    <x:t xml:space="preserve">Reserved capacity billed</x:t>
  </x:si>
  <x:si>
    <x:t xml:space="preserve">Contractual billability, not GPU utilization.</x:t>
  </x:si>
  <x:si>
    <x:t xml:space="preserve">Rent escalation</x:t>
  </x:si>
  <x:si>
    <x:t xml:space="preserve">Annually.</x:t>
  </x:si>
  <x:si>
    <x:t xml:space="preserve">Average IT electrical loading</x:t>
  </x:si>
  <x:si>
    <x:t xml:space="preserve">Electrical load, NOT billable occupancy.</x:t>
  </x:si>
  <x:si>
    <x:t xml:space="preserve">Annual facility PUE</x:t>
  </x:si>
  <x:si>
    <x:t xml:space="preserve">Total facility energy / IT energy.</x:t>
  </x:si>
  <x:si>
    <x:t xml:space="preserve">Blended electricity reference</x:t>
  </x:si>
  <x:si>
    <x:t xml:space="preserve">Tariff verification required.</x:t>
  </x:si>
  <x:si>
    <x:t xml:space="preserve">Assumed lease term</x:t>
  </x:si>
  <x:si>
    <x:t xml:space="preserve">Ten operating years held, then assumed sale.</x:t>
  </x:si>
  <x:si>
    <x:t xml:space="preserve">Operating hold</x:t>
  </x:si>
  <x:si>
    <x:t xml:space="preserve">Structural fixed-year model.</x:t>
  </x:si>
  <x:si>
    <x:t xml:space="preserve">Exit capitalization rate</x:t>
  </x:si>
  <x:si>
    <x:t xml:space="preserve">Not a transactional market quotation.</x:t>
  </x:si>
  <x:si>
    <x:t xml:space="preserve">Debt share of prefinance uses</x:t>
  </x:si>
  <x:si>
    <x:t xml:space="preserve">Different from debt/all-in uses.</x:t>
  </x:si>
  <x:si>
    <x:t xml:space="preserve">Construction interest</x:t>
  </x:si>
  <x:si>
    <x:t xml:space="preserve">Annual model assumption.</x:t>
  </x:si>
  <x:si>
    <x:t xml:space="preserve">Operating interest</x:t>
  </x:si>
  <x:si>
    <x:t xml:space="preserve">Interest only.</x:t>
  </x:si>
  <x:si>
    <x:t xml:space="preserve">FACILITY AND CLOUD BOUNDARY</x:t>
  </x:si>
  <x:si>
    <x:t xml:space="preserve">Applies to facility hard costs.</x:t>
  </x:si>
  <x:si>
    <x:t xml:space="preserve">GPU count: optional cloud case</x:t>
  </x:si>
  <x:si>
    <x:t xml:space="preserve">Not purchased by the property landlord.</x:t>
  </x:si>
  <x:si>
    <x:t xml:space="preserve">Paid GPU-hour fraction</x:t>
  </x:si>
  <x:si>
    <x:t xml:space="preserve">Separate from reserved MW and electrical loading.</x:t>
  </x:si>
  <x:si>
    <x:t xml:space="preserve">DEVELOPMENT | What the landlord owns</x:t>
  </x:si>
  <x:si>
    <x:t xml:space="preserve">A commissioned 10 MW IT facility, not merely a powered shell. GPU servers, server racks and cluster IT equipment belong to the hypothetical tenant.</x:t>
  </x:si>
  <x:si>
    <x:t xml:space="preserve">CONTROL POINT | The developer controls land, delivery scope, procurement and construction capital. A cheap site without a credible power path is not a cheap data-center site.</x:t>
  </x:si>
  <x:si>
    <x:t xml:space="preserve">Cost item</x:t>
  </x:si>
  <x:si>
    <x:t xml:space="preserve">Total cost ($)</x:t>
  </x:si>
  <x:si>
    <x:t xml:space="preserve">$ / IT MW</x:t>
  </x:si>
  <x:si>
    <x:t xml:space="preserve">Scope</x:t>
  </x:si>
  <x:si>
    <x:t xml:space="preserve">Land at opportunity cost</x:t>
  </x:si>
  <x:si>
    <x:t xml:space="preserve">6 acres × $8m; include even if already owned</x:t>
  </x:si>
  <x:si>
    <x:t xml:space="preserve">Sitework / civil / utility yards</x:t>
  </x:si>
  <x:si>
    <x:t xml:space="preserve">Facility preparation</x:t>
  </x:si>
  <x:si>
    <x:t xml:space="preserve">Building shell</x:t>
  </x:si>
  <x:si>
    <x:t xml:space="preserve">100,000 gross SF × $230/SF</x:t>
  </x:si>
  <x:si>
    <x:t xml:space="preserve">Off/on-site scope requires utility quotation</x:t>
  </x:si>
  <x:si>
    <x:t xml:space="preserve">Electrical / UPS / distribution</x:t>
  </x:si>
  <x:si>
    <x:t xml:space="preserve">Permanent facility systems</x:t>
  </x:si>
  <x:si>
    <x:t xml:space="preserve">Backup generation / fuel</x:t>
  </x:si>
  <x:si>
    <x:t xml:space="preserve">Do not count redundant equipment as saleable MW</x:t>
  </x:si>
  <x:si>
    <x:t xml:space="preserve">Cooling / facility liquid loop</x:t>
  </x:si>
  <x:si>
    <x:t xml:space="preserve">Facility side of rack demarcation</x:t>
  </x:si>
  <x:si>
    <x:t xml:space="preserve">Fire / controls / security / fiber paths</x:t>
  </x:si>
  <x:si>
    <x:t xml:space="preserve">Excludes cloud IT networking hardware</x:t>
  </x:si>
  <x:si>
    <x:t xml:space="preserve">Testing and commissioning</x:t>
  </x:si>
  <x:si>
    <x:t xml:space="preserve">Ready for customer acceptance</x:t>
  </x:si>
  <x:si>
    <x:t xml:space="preserve">Excludes land</x:t>
  </x:si>
  <x:si>
    <x:t xml:space="preserve">Land</x:t>
  </x:si>
  <x:si>
    <x:t xml:space="preserve">Design / engineering / permits</x:t>
  </x:si>
  <x:si>
    <x:t xml:space="preserve">Legal / development management</x:t>
  </x:si>
  <x:si>
    <x:t xml:space="preserve">Lease procurement / closing</x:t>
  </x:si>
  <x:si>
    <x:t xml:space="preserve">10% of hard costs</x:t>
  </x:si>
  <x:si>
    <x:t xml:space="preserve">Basis for 60% loan advance</x:t>
  </x:si>
  <x:si>
    <x:t xml:space="preserve">Construction / operating principal</x:t>
  </x:si>
  <x:si>
    <x:t xml:space="preserve">Finances eligible cost only</x:t>
  </x:si>
  <x:si>
    <x:t xml:space="preserve">Loan fee, equity funded</x:t>
  </x:si>
  <x:si>
    <x:t xml:space="preserve">1% of principal</x:t>
  </x:si>
  <x:si>
    <x:t xml:space="preserve">Construction interest, equity funded</x:t>
  </x:si>
  <x:si>
    <x:t xml:space="preserve">Monthly opening balance + half-month draw</x:t>
  </x:si>
  <x:si>
    <x:t xml:space="preserve">Includes land and financing; excludes tenant IT</x:t>
  </x:si>
  <x:si>
    <x:t xml:space="preserve">Required developer equity</x:t>
  </x:si>
  <x:si>
    <x:t xml:space="preserve">Also funds interest and fees</x:t>
  </x:si>
  <x:si>
    <x:t xml:space="preserve">Sources less uses CHECK</x:t>
  </x:si>
  <x:si>
    <x:t xml:space="preserve">Must be zero</x:t>
  </x:si>
  <x:si>
    <x:t xml:space="preserve">Not the 60% advance on eligible cost</x:t>
  </x:si>
  <x:si>
    <x:t xml:space="preserve">Includes financing</x:t>
  </x:si>
  <x:si>
    <x:t xml:space="preserve">Analytical cross-check, not comparability to warehouse shell cost</x:t>
  </x:si>
  <x:si>
    <x:t xml:space="preserve">Pre-financing cost / IT MW</x:t>
  </x:si>
  <x:si>
    <x:t xml:space="preserve">For unlevered asset cash flows</x:t>
  </x:si>
  <x:si>
    <x:t xml:space="preserve">EXCLUSIONS: tenant GPUs/servers/racks, cloud software and customer acquisition, cloud working capital, major off-site upgrades above the allowance, extraordinary environmental/seismic remediation, income tax, tenant default/re-leasing costs and future major retrofit beyond the annual reserve.</x:t>
  </x:si>
  <x:si>
    <x:t xml:space="preserve">The base case purchases land. For contributed land, retain opportunity value when measuring investment returns, but separately recalculate cash equity, sponsor basis and lender credit for land.</x:t>
  </x:si>
  <x:si>
    <x:t xml:space="preserve">HOW TO READ THIS TAB | Chapters 6 and 9</x:t>
  </x:si>
  <x:si>
    <x:t xml:space="preserve">DECISION | Validate utility scope, liquid-cooling demarcation, tenant fit-out and residual retrofit costs before using this budget. Positive checks prove arithmetic, not buildability.</x:t>
  </x:si>
  <x:si>
    <x:t xml:space="preserve">EXHIBIT 03  |  DEVELOPMENT CAPITAL AND SOURCES</x:t>
  </x:si>
  <x:si>
    <x:t xml:space="preserve">How much money is required to deliver the real estate asset?</x:t>
  </x:si>
  <x:si>
    <x:t xml:space="preserve">THE GII CONTROL-POINT LENS  |  Control land, the exact facility delivery scope, the utility work schedule and the capital required to achieve acceptance.</x:t>
  </x:si>
  <x:si>
    <x:t xml:space="preserve">CONSTRUCTION | Monthly draws and interest</x:t>
  </x:si>
  <x:si>
    <x:t xml:space="preserve">US$ millions displayed; stored values remain USD. Land at month 0, then an even draw over months 1–24. Interest is equity-funded, charged on opening debt plus half the current draw.</x:t>
  </x:si>
  <x:si>
    <x:t xml:space="preserve">CONTROL POINT | Time is a capital-control point. Delayed power or commissioning converts schedule risk into interest carry before rent begins.</x:t>
  </x:si>
  <x:si>
    <x:t xml:space="preserve">Month</x:t>
  </x:si>
  <x:si>
    <x:t xml:space="preserve">Eligible uses</x:t>
  </x:si>
  <x:si>
    <x:t xml:space="preserve">Debt draw</x:t>
  </x:si>
  <x:si>
    <x:t xml:space="preserve">Opening debt</x:t>
  </x:si>
  <x:si>
    <x:t xml:space="preserve">Interest cost</x:t>
  </x:si>
  <x:si>
    <x:t xml:space="preserve">Loan fee</x:t>
  </x:si>
  <x:si>
    <x:t xml:space="preserve">Equity funding</x:t>
  </x:si>
  <x:si>
    <x:t xml:space="preserve">Closing debt</x:t>
  </x:si>
  <x:si>
    <x:t xml:space="preserve">TOTAL</x:t>
  </x:si>
  <x:si>
    <x:t xml:space="preserve">Interest is approximated on opening debt plus one-half of each current draw. A full construction lender model would use exact draw dates, fees, milestones, tax payments and retention.</x:t>
  </x:si>
  <x:si>
    <x:t xml:space="preserve">HOW TO READ THIS TAB | Chapters 5, 6 and 9</x:t>
  </x:si>
  <x:si>
    <x:t xml:space="preserve">READ | B is asset spending; C is debt funding; E and F are financing costs; G is developer equity. H is a balance, not a cash flow: do not sum closing balances.</x:t>
  </x:si>
  <x:si>
    <x:t xml:space="preserve">TRACE | G8 = (F8 + E8/2) × Inputs D32 / Inputs D16. SUM(G7:G31) feeds Development D29. I33 reconciles to Development D32.</x:t>
  </x:si>
  <x:si>
    <x:t xml:space="preserve">TIMING | An even draw is a teaching convention, not an engineer's construction schedule. All financing costs are equity-funded. For added acceptance delay, use Downside instead of overwriting the fixed timeline.</x:t>
  </x:si>
  <x:si>
    <x:t xml:space="preserve">EXHIBIT 04  |  CAPITAL DEPLOYMENT AND TIME-TO-POWER</x:t>
  </x:si>
  <x:si>
    <x:t xml:space="preserve">What must be funded before the property earns rent?</x:t>
  </x:si>
  <x:si>
    <x:t xml:space="preserve">THE GII CONTROL-POINT LENS  |  The critical path determines capital carry. Delay in utility service can increase funded cost before rent starts.</x:t>
  </x:si>
  <x:si>
    <x:t xml:space="preserve">CONSTRUCTION DRAWS | BASE-CASE FINANCING</x:t>
  </x:si>
  <x:si>
    <x:t xml:space="preserve">Month 0 | land &amp; eligible uses</x:t>
  </x:si>
  <x:si>
    <x:t xml:space="preserve">Land purchase at model start.</x:t>
  </x:si>
  <x:si>
    <x:t xml:space="preserve">Month 0 | debt draw</x:t>
  </x:si>
  <x:si>
    <x:t xml:space="preserve">Initial loan funding.</x:t>
  </x:si>
  <x:si>
    <x:t xml:space="preserve">Month 0 | developer equity</x:t>
  </x:si>
  <x:si>
    <x:t xml:space="preserve">Land and loan fee cash.</x:t>
  </x:si>
  <x:si>
    <x:t xml:space="preserve">Month 1 | eligible uses</x:t>
  </x:si>
  <x:si>
    <x:t xml:space="preserve">Model assumes level draws.</x:t>
  </x:si>
  <x:si>
    <x:t xml:space="preserve">Month 1 | interest</x:t>
  </x:si>
  <x:si>
    <x:t xml:space="preserve">Opening balance plus half current draw.</x:t>
  </x:si>
  <x:si>
    <x:t xml:space="preserve">Month 6 | interest</x:t>
  </x:si>
  <x:si>
    <x:t xml:space="preserve">Interest rises with outstanding debt.</x:t>
  </x:si>
  <x:si>
    <x:t xml:space="preserve">Month 12 | interest</x:t>
  </x:si>
  <x:si>
    <x:t xml:space="preserve">Debt increases through construction.</x:t>
  </x:si>
  <x:si>
    <x:t xml:space="preserve">Month 18 | interest</x:t>
  </x:si>
  <x:si>
    <x:t xml:space="preserve">Not a contractor schedule.</x:t>
  </x:si>
  <x:si>
    <x:t xml:space="preserve">Month 24 | interest</x:t>
  </x:si>
  <x:si>
    <x:t xml:space="preserve">Final build-month interest.</x:t>
  </x:si>
  <x:si>
    <x:t xml:space="preserve">TOTALS | SOURCE CHECK</x:t>
  </x:si>
  <x:si>
    <x:t xml:space="preserve">Total eligible uses</x:t>
  </x:si>
  <x:si>
    <x:t xml:space="preserve">Total loan draws</x:t>
  </x:si>
  <x:si>
    <x:t xml:space="preserve">Total interest expense</x:t>
  </x:si>
  <x:si>
    <x:t xml:space="preserve">Equity funded.</x:t>
  </x:si>
  <x:si>
    <x:t xml:space="preserve">Total developer equity</x:t>
  </x:si>
  <x:si>
    <x:t xml:space="preserve">End-of-construction principal</x:t>
  </x:si>
  <x:si>
    <x:t xml:space="preserve">Repayment at assumed exit.</x:t>
  </x:si>
  <x:si>
    <x:t xml:space="preserve">CONTROL POINT: COMMISSIONING</x:t>
  </x:si>
  <x:si>
    <x:t xml:space="preserve">LANDLORD | 10 operating years plus terminal-year NOI</x:t>
  </x:si>
  <x:si>
    <x:t xml:space="preserve">Amounts are in US dollars unless noted. Full 10-year operating schedule stays in Excel.</x:t>
  </x:si>
  <x:si>
    <x:t xml:space="preserve">CONTROL POINT | Underwrite billable IT MW, power recoveries, operating expenses and tenant payments.</x:t>
  </x:si>
  <x:si>
    <x:t xml:space="preserve">Operating year</x:t>
  </x:si>
  <x:si>
    <x:t xml:space="preserve">Billable critical IT capacity (MW)</x:t>
  </x:si>
  <x:si>
    <x:t xml:space="preserve">Capacity rent ($/kW/month)</x:t>
  </x:si>
  <x:si>
    <x:t xml:space="preserve">Contractual capacity rent</x:t>
  </x:si>
  <x:si>
    <x:t xml:space="preserve">Electricity reimbursement</x:t>
  </x:si>
  <x:si>
    <x:t xml:space="preserve">Total cash receipts</x:t>
  </x:si>
  <x:si>
    <x:t xml:space="preserve">Electricity expense</x:t>
  </x:si>
  <x:si>
    <x:t xml:space="preserve">Property taxes / assessments</x:t>
  </x:si>
  <x:si>
    <x:t xml:space="preserve">Facility staffing / security</x:t>
  </x:si>
  <x:si>
    <x:t xml:space="preserve">Water / consumables / testing</x:t>
  </x:si>
  <x:si>
    <x:t xml:space="preserve">Owner administration</x:t>
  </x:si>
  <x:si>
    <x:t xml:space="preserve">Total operating expenses</x:t>
  </x:si>
  <x:si>
    <x:t xml:space="preserve">NET OPERATING INCOME</x:t>
  </x:si>
  <x:si>
    <x:t xml:space="preserve">Recurring facility capital reserve</x:t>
  </x:si>
  <x:si>
    <x:t xml:space="preserve">Cash available before debt service</x:t>
  </x:si>
  <x:si>
    <x:t xml:space="preserve">Interest-only debt service</x:t>
  </x:si>
  <x:si>
    <x:t xml:space="preserve">CASH FLOW TO EQUITY</x:t>
  </x:si>
  <x:si>
    <x:t xml:space="preserve">Operating debt principal</x:t>
  </x:si>
  <x:si>
    <x:t xml:space="preserve">NOI / interest coverage</x:t>
  </x:si>
  <x:si>
    <x:t xml:space="preserve">After-reserve debt-service coverage</x:t>
  </x:si>
  <x:si>
    <x:t xml:space="preserve">Cash-on-cash on initial equity</x:t>
  </x:si>
  <x:si>
    <x:t xml:space="preserve">Tenant facility bill (rent + power)</x:t>
  </x:si>
  <x:si>
    <x:t xml:space="preserve">Gross terminal property value</x:t>
  </x:si>
  <x:si>
    <x:t xml:space="preserve">Sale costs</x:t>
  </x:si>
  <x:si>
    <x:t xml:space="preserve">Debt principal repaid on sale</x:t>
  </x:si>
  <x:si>
    <x:t xml:space="preserve">Net sale proceeds to equity</x:t>
  </x:si>
  <x:si>
    <x:t xml:space="preserve">Equity CF including sale</x:t>
  </x:si>
  <x:si>
    <x:t xml:space="preserve">Unlevered CF including sale</x:t>
  </x:si>
  <x:si>
    <x:t xml:space="preserve">Power pass-through CHECK</x:t>
  </x:si>
  <x:si>
    <x:t xml:space="preserve">IMPORTANT: $225/kW/month is NOT treated as NNN rent plus a second facility-cost reimbursement. Only electricity is added. Changing to NNN requires converting the quoted rent and expense recoveries together.</x:t>
  </x:si>
  <x:si>
    <x:t xml:space="preserve">HOW TO READ THIS TAB | Chapters 7–9</x:t>
  </x:si>
  <x:si>
    <x:t xml:space="preserve">READ | Capacity rent + power recovery − power expense − non-power expenses = NOI. Subtract annual capital reserve and debt interest to reach equity cash. Operating expenses grow 3%; rent grows 2.5%.</x:t>
  </x:si>
  <x:si>
    <x:t xml:space="preserve">TERMINAL | Five years of assumed lease remain after the ten-year hold. Terminal value is a scenario, not an appraisal. Year 11 is not received as a full operating cash flow during the hold.</x:t>
  </x:si>
  <x:si>
    <x:t xml:space="preserve">CREDIT | The base case collects all rent. Tenant default, downtime, guarantees and extraordinary retrofit costs are not embedded here. Review Tenant Credit, Lease Screen and Downside before relying on the return.</x:t>
  </x:si>
  <x:si>
    <x:t xml:space="preserve">EXHIBIT 05  |  LANDLORD CASH-FLOW ECONOMICS</x:t>
  </x:si>
  <x:si>
    <x:t xml:space="preserve">How does booked rent become NOI and equity cash?</x:t>
  </x:si>
  <x:si>
    <x:t xml:space="preserve">THE GII CONTROL-POINT LENS  |  Billable critical-IT capacity and legally collectible rent drive real estate NOI; utility pass-through is not operating profit.</x:t>
  </x:si>
  <x:si>
    <x:t xml:space="preserve">YEAR-ONE PROPERTY ECONOMICS</x:t>
  </x:si>
  <x:si>
    <x:t xml:space="preserve">Reserved critical IT capacity</x:t>
  </x:si>
  <x:si>
    <x:t xml:space="preserve">Fully billable in the base case.</x:t>
  </x:si>
  <x:si>
    <x:t xml:space="preserve">Capacity rent per kW per month</x:t>
  </x:si>
  <x:si>
    <x:t xml:space="preserve">Includes non-power OPEX in the model.</x:t>
  </x:si>
  <x:si>
    <x:t xml:space="preserve">Actual signed lease would be required.</x:t>
  </x:si>
  <x:si>
    <x:t xml:space="preserve">Assumed recovered at cost.</x:t>
  </x:si>
  <x:si>
    <x:t xml:space="preserve">NOT all high-margin rental revenue.</x:t>
  </x:si>
  <x:si>
    <x:t xml:space="preserve">Matches reimbursement in base case.</x:t>
  </x:si>
  <x:si>
    <x:t xml:space="preserve">Total property operating expenses</x:t>
  </x:si>
  <x:si>
    <x:t xml:space="preserve">Includes power; negative cash line.</x:t>
  </x:si>
  <x:si>
    <x:t xml:space="preserve">Before capital reserve and debt.</x:t>
  </x:si>
  <x:si>
    <x:t xml:space="preserve">Facility capital reserve</x:t>
  </x:si>
  <x:si>
    <x:t xml:space="preserve">Below NOI in this model.</x:t>
  </x:si>
  <x:si>
    <x:t xml:space="preserve">After-reserve cash</x:t>
  </x:si>
  <x:si>
    <x:t xml:space="preserve">Funds interest under assumed debt.</x:t>
  </x:si>
  <x:si>
    <x:t xml:space="preserve">No amortization in this scenario.</x:t>
  </x:si>
  <x:si>
    <x:t xml:space="preserve">CASH TO EQUITY</x:t>
  </x:si>
  <x:si>
    <x:t xml:space="preserve">Assumes full collections; before income tax.</x:t>
  </x:si>
  <x:si>
    <x:t xml:space="preserve">RISK, CREDIT AND EXIT</x:t>
  </x:si>
  <x:si>
    <x:t xml:space="preserve">NOI divided by interest.</x:t>
  </x:si>
  <x:si>
    <x:t xml:space="preserve">After-reserve cash divided by interest.</x:t>
  </x:si>
  <x:si>
    <x:t xml:space="preserve">Cash-on-cash on equity</x:t>
  </x:si>
  <x:si>
    <x:t xml:space="preserve">Year-one equity payout ratio.</x:t>
  </x:si>
  <x:si>
    <x:t xml:space="preserve">Tenant rent + electricity bill</x:t>
  </x:si>
  <x:si>
    <x:t xml:space="preserve">Tenant pays utility in addition to rent.</x:t>
  </x:si>
  <x:si>
    <x:t xml:space="preserve">Year 10 rent</x:t>
  </x:si>
  <x:si>
    <x:t xml:space="preserve">Remaining term matters at exit.</x:t>
  </x:si>
  <x:si>
    <x:t xml:space="preserve">Year 10 NOI</x:t>
  </x:si>
  <x:si>
    <x:t xml:space="preserve">Feeds year-11 exit approach.</x:t>
  </x:si>
  <x:si>
    <x:t xml:space="preserve">Net equity sale proceeds</x:t>
  </x:si>
  <x:si>
    <x:t xml:space="preserve">Highly exit-cap dependent.</x:t>
  </x:si>
  <x:si>
    <x:t xml:space="preserve">POWER | Capacity is not consumption</x:t>
  </x:si>
  <x:si>
    <x:t xml:space="preserve">Use IT loading for energy; use contracted billable capacity for rent. Electrical load, lease occupancy and paid GPU utilization are different measures.</x:t>
  </x:si>
  <x:si>
    <x:t xml:space="preserve">CONTROL POINT | Power is both a physical constraint and an economic input. Distinguish IT capacity, actual electrical loading, facility overhead and the tariff paid over time.</x:t>
  </x:si>
  <x:si>
    <x:t xml:space="preserve">Step / quantity</x:t>
  </x:si>
  <x:si>
    <x:t xml:space="preserve">Meaning</x:t>
  </x:si>
  <x:si>
    <x:t xml:space="preserve">Rated IT capacity</x:t>
  </x:si>
  <x:si>
    <x:t xml:space="preserve">kW</x:t>
  </x:si>
  <x:si>
    <x:t xml:space="preserve">Maximum IT service capacity in the example</x:t>
  </x:si>
  <x:si>
    <x:t xml:space="preserve">Average electrical loading</x:t>
  </x:si>
  <x:si>
    <x:t xml:space="preserve">Average IT draw / rated IT capacity</x:t>
  </x:si>
  <x:si>
    <x:t xml:space="preserve">Average IT power</x:t>
  </x:si>
  <x:si>
    <x:t xml:space="preserve">10,000 × 85% = 8,500 kW</x:t>
  </x:si>
  <x:si>
    <x:t xml:space="preserve">Hours in model year</x:t>
  </x:si>
  <x:si>
    <x:t xml:space="preserve">365 × 24</x:t>
  </x:si>
  <x:si>
    <x:t xml:space="preserve">Annual IT energy</x:t>
  </x:si>
  <x:si>
    <x:t xml:space="preserve">kWh</x:t>
  </x:si>
  <x:si>
    <x:t xml:space="preserve">Power × hours</x:t>
  </x:si>
  <x:si>
    <x:t xml:space="preserve">Annual energy PUE</x:t>
  </x:si>
  <x:si>
    <x:t xml:space="preserve">ratio</x:t>
  </x:si>
  <x:si>
    <x:t xml:space="preserve">Total facility energy / IT energy</x:t>
  </x:si>
  <x:si>
    <x:t xml:space="preserve">Annual total facility energy</x:t>
  </x:si>
  <x:si>
    <x:t xml:space="preserve">Includes cooling and power-distribution overhead</x:t>
  </x:si>
  <x:si>
    <x:t xml:space="preserve">Facility-support energy</x:t>
  </x:si>
  <x:si>
    <x:t xml:space="preserve">Overhead above IT energy</x:t>
  </x:si>
  <x:si>
    <x:t xml:space="preserve">All-in blended price benchmark</x:t>
  </x:si>
  <x:si>
    <x:t xml:space="preserve">Class-average reference, not a tariff simulation</x:t>
  </x:si>
  <x:si>
    <x:t xml:space="preserve">Electricity attributed to IT equipment</x:t>
  </x:si>
  <x:si>
    <x:t xml:space="preserve">Computing-side portion of bill</x:t>
  </x:si>
  <x:si>
    <x:t xml:space="preserve">Electricity attributed to support systems</x:t>
  </x:si>
  <x:si>
    <x:t xml:space="preserve">Cooling/electrical overhead portion</x:t>
  </x:si>
  <x:si>
    <x:t xml:space="preserve">TOTAL ANNUAL ELECTRICITY</x:t>
  </x:si>
  <x:si>
    <x:t xml:space="preserve">Cost passed through to tenant at no markup</x:t>
  </x:si>
  <x:si>
    <x:t xml:space="preserve">Average monthly electricity</x:t>
  </x:si>
  <x:si>
    <x:t xml:space="preserve">$ / month</x:t>
  </x:si>
  <x:si>
    <x:t xml:space="preserve">Actual monthly bills vary</x:t>
  </x:si>
  <x:si>
    <x:t xml:space="preserve">Average whole-facility draw</x:t>
  </x:si>
  <x:si>
    <x:t xml:space="preserve">85% average loading × 1.36 PUE</x:t>
  </x:si>
  <x:si>
    <x:t xml:space="preserve">Indicative facility draw at full IT load</x:t>
  </x:si>
  <x:si>
    <x:t xml:space="preserve">Not a utility service design or redundancy calculation</x:t>
  </x:si>
  <x:si>
    <x:t xml:space="preserve">IT share of total facility energy</x:t>
  </x:si>
  <x:si>
    <x:t xml:space="preserve">PUE is not itself an efficiency percentage</x:t>
  </x:si>
  <x:si>
    <x:t xml:space="preserve">Support share of total facility energy</x:t>
  </x:si>
  <x:si>
    <x:t xml:space="preserve">At PUE 1.36, overhead is 26.5% of total, not 36%</x:t>
  </x:si>
  <x:si>
    <x:t xml:space="preserve">Annual power / reserved kW / month</x:t>
  </x:si>
  <x:si>
    <x:t xml:space="preserve">$ / kW / month</x:t>
  </x:si>
  <x:si>
    <x:t xml:space="preserve">Comparable unit, but this is energy expense, not rent</x:t>
  </x:si>
  <x:si>
    <x:t xml:space="preserve">PUE is total facility energy / IT energy over the same period and measurement boundary. Use an IT-energy-weighted annual PUE; do not blindly multiply simple average daily PUE by annual IT energy.</x:t>
  </x:si>
  <x:si>
    <x:t xml:space="preserve">Average IT loading</x:t>
  </x:si>
  <x:si>
    <x:t xml:space="preserve">Facility energy (MWh)</x:t>
  </x:si>
  <x:si>
    <x:t xml:space="preserve">Electricity ($/yr)</x:t>
  </x:si>
  <x:si>
    <x:t xml:space="preserve">Capacity rent ($/yr)</x:t>
  </x:si>
  <x:si>
    <x:t xml:space="preserve">Rent remains constant under the assumed fully billable 10 MW reservation. Changing electrical loading in this table does not change the contractual lease; actual lease language controls.</x:t>
  </x:si>
  <x:si>
    <x:t xml:space="preserve">PUE sensitivity</x:t>
  </x:si>
  <x:si>
    <x:t xml:space="preserve">Change vs base ($/yr)</x:t>
  </x:si>
  <x:si>
    <x:t xml:space="preserve">Note</x:t>
  </x:si>
  <x:si>
    <x:t xml:space="preserve">Cost of a $0.01/kWh rate increase</x:t>
  </x:si>
  <x:si>
    <x:t xml:space="preserve">Actual bill = energy charges by time block + billed-demand charges + fixed charges + adjustments/taxes. A true all-in blended $/kWh already incorporates those items: do NOT add demand fees twice. Benchmark applies to the City of Santa Clara utility, not the entire county.</x:t>
  </x:si>
  <x:si>
    <x:t xml:space="preserve">Loading sensitivities hold PUE constant for teaching purposes. Actual cooling overhead and billed demand do not necessarily decline in proportion to IT utilization; interval-load and utility-bill modelling is required.</x:t>
  </x:si>
  <x:si>
    <x:t xml:space="preserve">HOW TO READ THIS TAB | Chapters 3 and 8</x:t>
  </x:si>
  <x:si>
    <x:t xml:space="preserve">READ | kW is power capacity; kWh is electricity over time. Average IT kW × annual hours = IT energy; multiply by annual PUE for facility energy; multiply by blended $/kWh for cost.</x:t>
  </x:si>
  <x:si>
    <x:t xml:space="preserve">TRACE | D7=10,000 IT kW; D8=85% loading; D10=8,760 hours; D12=1.36 PUE; D15=$0.159/kWh. D18 is annual cost, linked to Landlord D10 and D13 with opposite signs.</x:t>
  </x:si>
  <x:si>
    <x:t xml:space="preserve">SOURCE | S01 is an SVP class-average reference, not a parcel tariff. S03 defines PUE; 1.36 is a scenario. Do not use annual PUE as a peak utility-service or redundancy design.</x:t>
  </x:si>
  <x:si>
    <x:t xml:space="preserve">DECISION | Each one-cent/kWh increase costs about $1.01m (D45) more per year. This burdens the tenant under the assumed lease; it affects the landlord through recoverability and tenant credit rather than an automatic NOI deduction.</x:t>
  </x:si>
  <x:si>
    <x:t xml:space="preserve">EXHIBIT 06  |  ELECTRICITY COST AND CAPACITY</x:t>
  </x:si>
  <x:si>
    <x:t xml:space="preserve">How does 10 MW of IT power become a utility bill?</x:t>
  </x:si>
  <x:si>
    <x:t xml:space="preserve">THE GII CONTROL-POINT LENS  |  Rated MW, actual electrical consumption and billable MW answer three different questions. Electricity is reimbursed under this case.</x:t>
  </x:si>
  <x:si>
    <x:t xml:space="preserve">FROM MEGAWATTS TO THE ELECTRICITY BILL</x:t>
  </x:si>
  <x:si>
    <x:t xml:space="preserve">Critical IT load</x:t>
  </x:si>
  <x:si>
    <x:t xml:space="preserve">10 MW × 1,000 kW.</x:t>
  </x:si>
  <x:si>
    <x:t xml:space="preserve">NOT lease occupancy or paid GPU utilization.</x:t>
  </x:si>
  <x:si>
    <x:t xml:space="preserve">Average IT power draw</x:t>
  </x:si>
  <x:si>
    <x:t xml:space="preserve">Rated kW × average loading.</x:t>
  </x:si>
  <x:si>
    <x:t xml:space="preserve">Non-leap year.</x:t>
  </x:si>
  <x:si>
    <x:t xml:space="preserve">IT kW × loading × 8,760 hours.</x:t>
  </x:si>
  <x:si>
    <x:t xml:space="preserve">Annual PUE</x:t>
  </x:si>
  <x:si>
    <x:t xml:space="preserve">TOTAL FACILITY ENERGY</x:t>
  </x:si>
  <x:si>
    <x:t xml:space="preserve">Includes cooling and electrical losses.</x:t>
  </x:si>
  <x:si>
    <x:t xml:space="preserve">Overhead—not saleable compute.</x:t>
  </x:si>
  <x:si>
    <x:t xml:space="preserve">Blended energy price</x:t>
  </x:si>
  <x:si>
    <x:t xml:space="preserve">SVP benchmark; tariff-specific billing may differ.</x:t>
  </x:si>
  <x:si>
    <x:t xml:space="preserve">TOTAL ELECTRICITY COST</x:t>
  </x:si>
  <x:si>
    <x:t xml:space="preserve">Electricity reimbursed by modeled tenant.</x:t>
  </x:si>
  <x:si>
    <x:t xml:space="preserve">Monthly equivalent</x:t>
  </x:si>
  <x:si>
    <x:t xml:space="preserve">Annual / 12.</x:t>
  </x:si>
  <x:si>
    <x:t xml:space="preserve">Energy-weighted annual average.</x:t>
  </x:si>
  <x:si>
    <x:t xml:space="preserve">Indicative full-load facility draw</x:t>
  </x:si>
  <x:si>
    <x:t xml:space="preserve">Not engineering connection sizing.</x:t>
  </x:si>
  <x:si>
    <x:t xml:space="preserve">SENSITIVITY | DO NOT CONFUSE USAGE WITH RENT</x:t>
  </x:si>
  <x:si>
    <x:t xml:space="preserve">50% electrical loading | annual cost</x:t>
  </x:si>
  <x:si>
    <x:t xml:space="preserve">Rent unchanged under assumed lease.</x:t>
  </x:si>
  <x:si>
    <x:t xml:space="preserve">85% loading | annual cost</x:t>
  </x:si>
  <x:si>
    <x:t xml:space="preserve">Base-case figure.</x:t>
  </x:si>
  <x:si>
    <x:t xml:space="preserve">100% loading | annual cost</x:t>
  </x:si>
  <x:si>
    <x:t xml:space="preserve">Actual PUE may change with loading.</x:t>
  </x:si>
  <x:si>
    <x:t xml:space="preserve">Annual cost of +$0.01/kWh</x:t>
  </x:si>
  <x:si>
    <x:t xml:space="preserve">Pass-through still affects tenant credit.</x:t>
  </x:si>
  <x:si>
    <x:t xml:space="preserve">OPTIONAL | Owning the facility AND selling compute</x:t>
  </x:si>
  <x:si>
    <x:t xml:space="preserve">Not GMI Cloud financials. A separate hypothetical operating-business model; GPU count, prices, costs and renewal cycles are assumptions, not company disclosures.</x:t>
  </x:si>
  <x:si>
    <x:t xml:space="preserve">CONTROL POINT | Vertical integration moves the boundary between real estate and operating-company risk; it does not eliminate capital cost, equipment renewal or customer-demand risk.</x:t>
  </x:si>
  <x:si>
    <x:t xml:space="preserve">Initial capital uses</x:t>
  </x:si>
  <x:si>
    <x:t xml:space="preserve">Amount ($)</x:t>
  </x:si>
  <x:si>
    <x:t xml:space="preserve">Interpretation</x:t>
  </x:si>
  <x:si>
    <x:t xml:space="preserve">Property development before financing</x:t>
  </x:si>
  <x:si>
    <x:t xml:space="preserve">Real estate</x:t>
  </x:si>
  <x:si>
    <x:t xml:space="preserve">Land + commissioned facility</x:t>
  </x:si>
  <x:si>
    <x:t xml:space="preserve">Property financing costs</x:t>
  </x:si>
  <x:si>
    <x:t xml:space="preserve">Scenario carries developer financing assumptions</x:t>
  </x:si>
  <x:si>
    <x:t xml:space="preserve">Total property capital uses</x:t>
  </x:si>
  <x:si>
    <x:t xml:space="preserve">Not equivalent to equity invested</x:t>
  </x:si>
  <x:si>
    <x:t xml:space="preserve">Installed GPU-server fleet</x:t>
  </x:si>
  <x:si>
    <x:t xml:space="preserve">IT equipment</x:t>
  </x:si>
  <x:si>
    <x:t xml:space="preserve">4,000 illustrative GPUs × $50,000 allocated installed server cost</x:t>
  </x:si>
  <x:si>
    <x:t xml:space="preserve">Cluster networking and storage</x:t>
  </x:si>
  <x:si>
    <x:t xml:space="preserve">Excludes building fiber pathways already in facility budget</x:t>
  </x:si>
  <x:si>
    <x:t xml:space="preserve">Total IT equipment capital</x:t>
  </x:si>
  <x:si>
    <x:t xml:space="preserve">Entire fleet must be capacity-checked by engineers</x:t>
  </x:si>
  <x:si>
    <x:t xml:space="preserve">Cloud working capital</x:t>
  </x:si>
  <x:si>
    <x:t xml:space="preserve">Operating business</x:t>
  </x:si>
  <x:si>
    <x:t xml:space="preserve">Illustrative initial cash buffer</x:t>
  </x:si>
  <x:si>
    <x:t xml:space="preserve">TOTAL INTEGRATED CAPITAL USES</x:t>
  </x:si>
  <x:si>
    <x:t xml:space="preserve">Combined group</x:t>
  </x:si>
  <x:si>
    <x:t xml:space="preserve">Does not specify funding for IT equipment</x:t>
  </x:si>
  <x:si>
    <x:t xml:space="preserve">Installed GPU count</x:t>
  </x:si>
  <x:si>
    <x:t xml:space="preserve">Not calculated automatically from MW</x:t>
  </x:si>
  <x:si>
    <x:t xml:space="preserve">Hours per year</x:t>
  </x:si>
  <x:si>
    <x:t xml:space="preserve">Paid GPU-hour utilization</x:t>
  </x:si>
  <x:si>
    <x:t xml:space="preserve">Different from electrical load</x:t>
  </x:si>
  <x:si>
    <x:t xml:space="preserve">Annual revenue-producing GPU-hours</x:t>
  </x:si>
  <x:si>
    <x:t xml:space="preserve">GPU-hours</x:t>
  </x:si>
  <x:si>
    <x:t xml:space="preserve">Realized price / paid GPU-hour</x:t>
  </x:si>
  <x:si>
    <x:t xml:space="preserve">Not an actual quoted price</x:t>
  </x:si>
  <x:si>
    <x:t xml:space="preserve">Annual external compute revenue</x:t>
  </x:si>
  <x:si>
    <x:t xml:space="preserve">One-year illustrative run rate; not a 10-year forecast</x:t>
  </x:si>
  <x:si>
    <x:t xml:space="preserve">Annual economics ($)</x:t>
  </x:si>
  <x:si>
    <x:t xml:space="preserve">Tenant leasing facility</x:t>
  </x:si>
  <x:si>
    <x:t xml:space="preserve">Integrated owner</x:t>
  </x:si>
  <x:si>
    <x:t xml:space="preserve">Scope / caveat</x:t>
  </x:si>
  <x:si>
    <x:t xml:space="preserve">External compute revenue</x:t>
  </x:si>
  <x:si>
    <x:t xml:space="preserve">Facility capacity rent</x:t>
  </x:si>
  <x:si>
    <x:t xml:space="preserve">The consolidated owner does not pay external rent to itself.</x:t>
  </x:si>
  <x:si>
    <x:t xml:space="preserve">Electricity</x:t>
  </x:si>
  <x:si>
    <x:t xml:space="preserve">Property / facility operating costs</x:t>
  </x:si>
  <x:si>
    <x:t xml:space="preserve">Tenant's facility costs are already included in capacity rent: do not add them again.</x:t>
  </x:si>
  <x:si>
    <x:t xml:space="preserve">Cloud staff / software / overhead</x:t>
  </x:si>
  <x:si>
    <x:t xml:space="preserve">IT support and maintenance</x:t>
  </x:si>
  <x:si>
    <x:t xml:space="preserve">CASH EBITDA BEFORE FINANCING</x:t>
  </x:si>
  <x:si>
    <x:t xml:space="preserve">EBITDA is not property NOI, net income or cash available to shareholders.</x:t>
  </x:si>
  <x:si>
    <x:t xml:space="preserve">Annualized IT renewal allowance</x:t>
  </x:si>
  <x:si>
    <x:t xml:space="preserve">Economic renewal allowance = IT capex / 5 years. Not actual annual capex or an accounting depreciation claim.</x:t>
  </x:si>
  <x:si>
    <x:t xml:space="preserve">After IT renewal allowance</x:t>
  </x:si>
  <x:si>
    <x:t xml:space="preserve">Not EBIT: property depreciation and other accounting items have not been deducted.</x:t>
  </x:si>
  <x:si>
    <x:t xml:space="preserve">Property debt service</x:t>
  </x:si>
  <x:si>
    <x:t xml:space="preserve">Cash after listed allowances / RE debt</x:t>
  </x:si>
  <x:si>
    <x:t xml:space="preserve">NOT distributable profit: GPU debt service, taxes and further cash requirements are absent.</x:t>
  </x:si>
  <x:si>
    <x:t xml:space="preserve">GPU financing / taxes / other obligations</x:t>
  </x:si>
  <x:si>
    <x:t xml:space="preserve">NOT MODELLED</x:t>
  </x:si>
  <x:si>
    <x:t xml:space="preserve">Do not interpret missing financing data as zero.</x:t>
  </x:si>
  <x:si>
    <x:t xml:space="preserve">Cash operating break-even ($/GPU-hour)</x:t>
  </x:si>
  <x:si>
    <x:t xml:space="preserve">Break-even incl. IT renewal ($/GPU-hour)</x:t>
  </x:si>
  <x:si>
    <x:t xml:space="preserve">Property capital uses</x:t>
  </x:si>
  <x:si>
    <x:t xml:space="preserve">IT equipment + working capital</x:t>
  </x:si>
  <x:si>
    <x:t xml:space="preserve">Combined asset capital uses</x:t>
  </x:si>
  <x:si>
    <x:t xml:space="preserve">EBITDA consolidation CHECK</x:t>
  </x:si>
  <x:si>
    <x:t xml:space="preserve">Integrated EBITDA = tenant EBITDA + landlord NOI; internal rent eliminates.</x:t>
  </x:si>
  <x:si>
    <x:t xml:space="preserve">Variant 1: an independent developer leases a completed facility to GMI (main model). Variant 2: GMI owns the facility but leases space/power to a hyperscaler that owns GPUs (same property model, different tenant). Variant 3: GMI owns GPUs and sells compute (this separate integrated illustration).</x:t>
  </x:si>
  <x:si>
    <x:t xml:space="preserve">The integrated case must not be valued by capitalizing cloud EBITDA at a property cap rate. It needs customer-contract, hardware-renewal, financing and platform-risk analysis. No actual GMI tenant, site, GPU inventory or return is asserted.</x:t>
  </x:si>
  <x:si>
    <x:t xml:space="preserve">HOW TO READ THIS TAB | Chapter 12</x:t>
  </x:si>
  <x:si>
    <x:t xml:space="preserve">READ | Rows 5–12 separate facility and computing capital. Rows 23–40 compare a cloud tenant leasing a facility with consolidated ownership. Neither column is actual GMI financial information.</x:t>
  </x:si>
  <x:si>
    <x:t xml:space="preserve">TRACE | E31 = D31 + Landlord D21; D45 should equal zero. Internal rent cancels. Computer renewal D32/E32 is an economic allowance, not a claim about GAAP depreciation.</x:t>
  </x:si>
  <x:si>
    <x:t xml:space="preserve">CAUTION | GPU debt service, income taxes and extra working capital are NOT MODELED. D36/E36 are not distributable earnings or an investment return. The computer fleet must be engineering-checked.</x:t>
  </x:si>
  <x:si>
    <x:t xml:space="preserve">DECISION | Owning avoids external rent but adds development capital, property obligations and financing exposure. Do not capitalize compute EBITDA at the property exit cap rate.</x:t>
  </x:si>
  <x:si>
    <x:t xml:space="preserve">EXHIBIT 07  |  OWNERSHIP MODEL COMPARISON</x:t>
  </x:si>
  <x:si>
    <x:t xml:space="preserve">What changes when the cloud operator also finances the GPUs?</x:t>
  </x:si>
  <x:si>
    <x:t xml:space="preserve">THE GII CONTROL-POINT LENS  |  Owning GPUs adds substantial equipment investment, customer-price risk and replacement cycles to the property exposure.</x:t>
  </x:si>
  <x:si>
    <x:t xml:space="preserve">LANDLORD VS. VERTICALLY INTEGRATED CLOUD</x:t>
  </x:si>
  <x:si>
    <x:t xml:space="preserve">Property development + financing</x:t>
  </x:si>
  <x:si>
    <x:t xml:space="preserve">Real estate and permanent facility systems.</x:t>
  </x:si>
  <x:si>
    <x:t xml:space="preserve">GPU-server fleet</x:t>
  </x:si>
  <x:si>
    <x:t xml:space="preserve">Optional cloud capital, NOT landlord property.</x:t>
  </x:si>
  <x:si>
    <x:t xml:space="preserve">Network and storage</x:t>
  </x:si>
  <x:si>
    <x:t xml:space="preserve">Separate from landlord fiber pathways.</x:t>
  </x:si>
  <x:si>
    <x:t xml:space="preserve">Working capital</x:t>
  </x:si>
  <x:si>
    <x:t xml:space="preserve">Cloud operating business.</x:t>
  </x:si>
  <x:si>
    <x:t xml:space="preserve">TOTAL COMBINED INITIAL CAPITAL</x:t>
  </x:si>
  <x:si>
    <x:t xml:space="preserve">Property + technology + working capital.</x:t>
  </x:si>
  <x:si>
    <x:t xml:space="preserve">REVENUE FROM PAID COMPUTING</x:t>
  </x:si>
  <x:si>
    <x:t xml:space="preserve">Installed GPUs</x:t>
  </x:si>
  <x:si>
    <x:t xml:space="preserve">Illustrative hardware count.</x:t>
  </x:si>
  <x:si>
    <x:t xml:space="preserve">Paid utilization</x:t>
  </x:si>
  <x:si>
    <x:t xml:space="preserve">NOT electrical loading.</x:t>
  </x:si>
  <x:si>
    <x:t xml:space="preserve">Paid GPU hours / year</x:t>
  </x:si>
  <x:si>
    <x:t xml:space="preserve">Equipment × annual hours × paid utilization.</x:t>
  </x:si>
  <x:si>
    <x:t xml:space="preserve">Price per paid GPU-hour</x:t>
  </x:si>
  <x:si>
    <x:t xml:space="preserve">No actual GMI quotation implied.</x:t>
  </x:si>
  <x:si>
    <x:t xml:space="preserve">EXTERNAL COMPUTE REVENUE</x:t>
  </x:si>
  <x:si>
    <x:t xml:space="preserve">Only money from customers.</x:t>
  </x:si>
  <x:si>
    <x:t xml:space="preserve">OWNING PROPERTY VERSUS LEASING</x:t>
  </x:si>
  <x:si>
    <x:t xml:space="preserve">Compute EBITDA | tenant leasing</x:t>
  </x:si>
  <x:si>
    <x:t xml:space="preserve">External revenue after tenant cash operating costs.</x:t>
  </x:si>
  <x:si>
    <x:t xml:space="preserve">Combined EBITDA | integrated owner</x:t>
  </x:si>
  <x:si>
    <x:t xml:space="preserve">Eliminates internal rent at group level.</x:t>
  </x:si>
  <x:si>
    <x:t xml:space="preserve">IT renewal allowance</x:t>
  </x:si>
  <x:si>
    <x:t xml:space="preserve">Simplified renewal-cycle assumption.</x:t>
  </x:si>
  <x:si>
    <x:t xml:space="preserve">Integrated after-renewal allowance</x:t>
  </x:si>
  <x:si>
    <x:t xml:space="preserve">Still before certain financing and taxes.</x:t>
  </x:si>
  <x:si>
    <x:t xml:space="preserve">Integrated cash after real-estate debt</x:t>
  </x:si>
  <x:si>
    <x:t xml:space="preserve">Not complete free cash flow.</x:t>
  </x:si>
  <x:si>
    <x:t xml:space="preserve">Integrated break-even per GPU-hour</x:t>
  </x:si>
  <x:si>
    <x:t xml:space="preserve">Includes modeled technology renewal.</x:t>
  </x:si>
  <x:si>
    <x:t xml:space="preserve">Tenant break-even per GPU-hour</x:t>
  </x:si>
  <x:si>
    <x:t xml:space="preserve">Case-specific contractual allocation.</x:t>
  </x:si>
  <x:si>
    <x:t xml:space="preserve">SENSITIVITY | Which variables change the investment?</x:t>
  </x:si>
  <x:si>
    <x:t xml:space="preserve">All sensitivities are illustrative and isolate variables. Keep contractual rent separate from consumed electricity and delay costs separate from deferred revenue.</x:t>
  </x:si>
  <x:si>
    <x:t xml:space="preserve">CONTROL POINT | A robust investment thesis survives changes in rent, cost, power, financing and exit assumptions. Sensitivity is a test of control, not a forecast.</x:t>
  </x:si>
  <x:si>
    <x:t xml:space="preserve">Capacity rent ($/kW/mo)</x:t>
  </x:si>
  <x:si>
    <x:t xml:space="preserve">Capacity income ($)</x:t>
  </x:si>
  <x:si>
    <x:t xml:space="preserve">NOI ($)</x:t>
  </x:si>
  <x:si>
    <x:t xml:space="preserve">After-reserve DSCR</x:t>
  </x:si>
  <x:si>
    <x:t xml:space="preserve">All-in cost ($)</x:t>
  </x:si>
  <x:si>
    <x:t xml:space="preserve">POWER DELIVERY DELAY | Fully drawn debt, no rent yet</x:t>
  </x:si>
  <x:si>
    <x:t xml:space="preserve">Delay (months)</x:t>
  </x:si>
  <x:si>
    <x:t xml:space="preserve">Extra interest ($)</x:t>
  </x:si>
  <x:si>
    <x:t xml:space="preserve">Added equity ($)</x:t>
  </x:si>
  <x:si>
    <x:t xml:space="preserve">Rent deferred ($)</x:t>
  </x:si>
  <x:si>
    <x:t xml:space="preserve">All-in cost + carry ($)</x:t>
  </x:si>
  <x:si>
    <x:t xml:space="preserve">Delay scenario is incremental interest only, funded by equity, assuming the original debt is fully drawn. It excludes extension fees, added taxes/security, customer remedies and loan-maturity risk. Deferred rent is a timing exposure, NOT an extra development cost to add again.</x:t>
  </x:si>
  <x:si>
    <x:t xml:space="preserve">PROPERTY EXIT CAP RATE | Same Year-11 NOI</x:t>
  </x:si>
  <x:si>
    <x:t xml:space="preserve">Exit cap rate</x:t>
  </x:si>
  <x:si>
    <x:t xml:space="preserve">Gross value ($)</x:t>
  </x:si>
  <x:si>
    <x:t xml:space="preserve">Net equity sale ($)</x:t>
  </x:si>
  <x:si>
    <x:t xml:space="preserve">Assumption</x:t>
  </x:si>
  <x:si>
    <x:t xml:space="preserve">Assumes lease performs and no additional retrofit</x:t>
  </x:si>
  <x:si>
    <x:t xml:space="preserve">A single tenant is not diversified by the number of its downstream customers. A hyperscaler customer contract is not a landlord guarantee unless the landlord has enforceable recourse. Obtain legal and credit review.</x:t>
  </x:si>
  <x:si>
    <x:t xml:space="preserve">HOW TO READ THIS TAB | Chapters 9 and 13</x:t>
  </x:si>
  <x:si>
    <x:t xml:space="preserve">TRACE | Rent changes NOI while non-power costs are fixed in year one. Delay assumes fully drawn debt and equity-funded incremental interest. Deferred rent is not another construction invoice.</x:t>
  </x:si>
  <x:si>
    <x:t xml:space="preserve">LIMIT | No changed-scenario IRR is calculated here. Downside adds visible cash-carry, collection and refinance screens; each states its boundary. Do not apply stress twice to the same cash item.</x:t>
  </x:si>
  <x:si>
    <x:t xml:space="preserve">EXHIBIT 08  |  RISK AND RENT SENSITIVITY</x:t>
  </x:si>
  <x:si>
    <x:t xml:space="preserve">THE GII CONTROL-POINT LENS  |  Test rent and debt assumptions independently, and identify which change requires new equity or alters liquidity.</x:t>
  </x:si>
  <x:si>
    <x:t xml:space="preserve">RENT PRICING | OPERATING PROPERTY YIELD</x:t>
  </x:si>
  <x:si>
    <x:t xml:space="preserve">Rent $175 | NOI</x:t>
  </x:si>
  <x:si>
    <x:t xml:space="preserve">No different lease costs assumed.</x:t>
  </x:si>
  <x:si>
    <x:t xml:space="preserve">Rent $200 | NOI</x:t>
  </x:si>
  <x:si>
    <x:t xml:space="preserve">Fixed non-power OPEX in sensitivity.</x:t>
  </x:si>
  <x:si>
    <x:t xml:space="preserve">Rent $225 | NOI BASE</x:t>
  </x:si>
  <x:si>
    <x:t xml:space="preserve">Base investment case.</x:t>
  </x:si>
  <x:si>
    <x:t xml:space="preserve">Rent $250 | NOI</x:t>
  </x:si>
  <x:si>
    <x:t xml:space="preserve">Requires comparable market evidence.</x:t>
  </x:si>
  <x:si>
    <x:t xml:space="preserve">Rent $275 | NOI</x:t>
  </x:si>
  <x:si>
    <x:t xml:space="preserve">Not guaranteed achievable.</x:t>
  </x:si>
  <x:si>
    <x:t xml:space="preserve">DEVELOPMENT DELAY | EXTRA DEBT INTEREST</x:t>
  </x:si>
  <x:si>
    <x:t xml:space="preserve">6-month delay interest</x:t>
  </x:si>
  <x:si>
    <x:t xml:space="preserve">Debt fully drawn, no rent during delay.</x:t>
  </x:si>
  <x:si>
    <x:t xml:space="preserve">12-month delay interest</x:t>
  </x:si>
  <x:si>
    <x:t xml:space="preserve">Additional equity funding necessary.</x:t>
  </x:si>
  <x:si>
    <x:t xml:space="preserve">24-month delay interest</x:t>
  </x:si>
  <x:si>
    <x:t xml:space="preserve">Excludes some non-interest carry.</x:t>
  </x:si>
  <x:si>
    <x:t xml:space="preserve">CAP RATE | EFFECT ON EQUITY SALE PROCEEDS</x:t>
  </x:si>
  <x:si>
    <x:t xml:space="preserve">Exit 6% cap | net equity sale</x:t>
  </x:si>
  <x:si>
    <x:t xml:space="preserve">Lower cap implies higher sale valuation.</x:t>
  </x:si>
  <x:si>
    <x:t xml:space="preserve">Exit 7% cap | net equity sale</x:t>
  </x:si>
  <x:si>
    <x:t xml:space="preserve">Base scenario.</x:t>
  </x:si>
  <x:si>
    <x:t xml:space="preserve">Exit 8% cap | net equity sale</x:t>
  </x:si>
  <x:si>
    <x:t xml:space="preserve">Stress case.</x:t>
  </x:si>
  <x:si>
    <x:t xml:space="preserve">Exit 9% cap | net equity sale</x:t>
  </x:si>
  <x:si>
    <x:t xml:space="preserve">More conservative terminal exit.</x:t>
  </x:si>
  <x:si>
    <x:t xml:space="preserve">INVESTOR USE</x:t>
  </x:si>
  <x:si>
    <x:t xml:space="preserve">Base-case NOI | context only</x:t>
  </x:si>
  <x:si>
    <x:t xml:space="preserve">Run each case separately; no scenario IRR in tab.</x:t>
  </x:si>
  <x:si>
    <x:t xml:space="preserve">RESEARCH | Evidence ledger and data still required</x:t>
  </x:si>
  <x:si>
    <x:t xml:space="preserve">Source dates and scope matter; public benchmarks cannot prove parcel-level investment assumptions.</x:t>
  </x:si>
  <x:si>
    <x:t xml:space="preserve">CONTROL POINT | Verify period, scope and evidence before relying on project or company claims.</x:t>
  </x:si>
  <x:si>
    <x:t xml:space="preserve">ID</x:t>
  </x:si>
  <x:si>
    <x:t xml:space="preserve">Topic</x:t>
  </x:si>
  <x:si>
    <x:t xml:space="preserve">Observation / research task</x:t>
  </x:si>
  <x:si>
    <x:t xml:space="preserve">Period / status</x:t>
  </x:si>
  <x:si>
    <x:t xml:space="preserve">Model use / caveat</x:t>
  </x:si>
  <x:si>
    <x:t xml:space="preserve">Source URL</x:t>
  </x:si>
  <x:si>
    <x:t xml:space="preserve">S01</x:t>
  </x:si>
  <x:si>
    <x:t xml:space="preserve">SVP electricity reference</x:t>
  </x:si>
  <x:si>
    <x:t xml:space="preserve">CB-6 class-average $0.159/kWh; individual demand/energy and surcharges matter.</x:t>
  </x:si>
  <x:si>
    <x:t xml:space="preserve">Effective 2026-01-01; accessed 2026-10-17</x:t>
  </x:si>
  <x:si>
    <x:t xml:space="preserve">Teaching rate only; not a project tariff</x:t>
  </x:si>
  <x:si>
    <x:t xml:space="preserve">https://www.siliconvalleypower.com/businesses/rates-and-fees</x:t>
  </x:si>
  <x:si>
    <x:t xml:space="preserve">S02</x:t>
  </x:si>
  <x:si>
    <x:t xml:space="preserve">Silicon Valley market context</x:t>
  </x:si>
  <x:si>
    <x:t xml:space="preserve">509.2 MW inventory; 4.2% vacancy; 22 MW H1 absorption; 144 MW construction; asking rents $200–275/kW/month.</x:t>
  </x:si>
  <x:si>
    <x:t xml:space="preserve">H1 2026; published 2026-09-01</x:t>
  </x:si>
  <x:si>
    <x:t xml:space="preserve">Asking-rate size/scope differs from a negotiated 10 MW lease</x:t>
  </x:si>
  <x:si>
    <x:t xml:space="preserve">https://www.cbre.com/press-releases/silicon-valley-data-center-demand-continues-outpace-supply-causing-vacancy-fall-further-rents-rise</x:t>
  </x:si>
  <x:si>
    <x:t xml:space="preserve">S03</x:t>
  </x:si>
  <x:si>
    <x:t xml:space="preserve">PUE definition</x:t>
  </x:si>
  <x:si>
    <x:t xml:space="preserve">Google explains total-facility and IT-energy measurement boundaries.</x:t>
  </x:si>
  <x:si>
    <x:t xml:space="preserve">Accessed 2026-10-17</x:t>
  </x:si>
  <x:si>
    <x:t xml:space="preserve">Definition only; 1.36 remains GII assumption</x:t>
  </x:si>
  <x:si>
    <x:t xml:space="preserve">https://datacenters.google/efficiency/</x:t>
  </x:si>
  <x:si>
    <x:t xml:space="preserve">S04</x:t>
  </x:si>
  <x:si>
    <x:t xml:space="preserve">Power pass-through example</x:t>
  </x:si>
  <x:si>
    <x:t xml:space="preserve">Core Scientific reports electricity reimbursement without markup.</x:t>
  </x:si>
  <x:si>
    <x:t xml:space="preserve">Period 2026-06-30</x:t>
  </x:si>
  <x:si>
    <x:t xml:space="preserve">A structural example, not a GMI contract</x:t>
  </x:si>
  <x:si>
    <x:t xml:space="preserve">https://investors.corescientific.com/sec-filings/all-sec-filings/content/0001839341-26-000014/core-20260630.htm</x:t>
  </x:si>
  <x:si>
    <x:t xml:space="preserve">S05</x:t>
  </x:si>
  <x:si>
    <x:t xml:space="preserve">Capacity-status example</x:t>
  </x:si>
  <x:si>
    <x:t xml:space="preserve">Core Scientific filing distinguishes leased and billed customer power.</x:t>
  </x:si>
  <x:si>
    <x:t xml:space="preserve">Do not copy company MW into the 10 MW project</x:t>
  </x:si>
  <x:si>
    <x:t xml:space="preserve">S06</x:t>
  </x:si>
  <x:si>
    <x:t xml:space="preserve">GMI business description</x:t>
  </x:si>
  <x:si>
    <x:t xml:space="preserve">Company describes a computing and inference technology platform.</x:t>
  </x:si>
  <x:si>
    <x:t xml:space="preserve">Does not establish ownership of a particular parcel</x:t>
  </x:si>
  <x:si>
    <x:t xml:space="preserve">https://www.gmicloud.ai/en/company/about</x:t>
  </x:si>
  <x:si>
    <x:t xml:space="preserve">S07</x:t>
  </x:si>
  <x:si>
    <x:t xml:space="preserve">Rack-density reference</x:t>
  </x:si>
  <x:si>
    <x:t xml:space="preserve">DGX GB rack guide describes approximately 120 kW for the specified rack system.</x:t>
  </x:si>
  <x:si>
    <x:t xml:space="preserve">Hardware-specific example; not universal GPUs/MW</x:t>
  </x:si>
  <x:si>
    <x:t xml:space="preserve">https://docs.nvidia.com/dgx/dgxgb200-user-guide/hardware.html</x:t>
  </x:si>
  <x:si>
    <x:t xml:space="preserve">A01</x:t>
  </x:si>
  <x:si>
    <x:t xml:space="preserve">Physical project assumptions</x:t>
  </x:si>
  <x:si>
    <x:t xml:space="preserve">6 acres; 100,000 gross SF; 10 MW IT; 24 build months.</x:t>
  </x:si>
  <x:si>
    <x:t xml:space="preserve">GII teaching model</x:t>
  </x:si>
  <x:si>
    <x:t xml:space="preserve">No actual site feasibility study</x:t>
  </x:si>
  <x:si>
    <x:t xml:space="preserve">A02</x:t>
  </x:si>
  <x:si>
    <x:t xml:space="preserve">Property underwriting assumptions</x:t>
  </x:si>
  <x:si>
    <x:t xml:space="preserve">Budget, $225 rent, debt terms, operating costs and exit cap.</x:t>
  </x:si>
  <x:si>
    <x:t xml:space="preserve">Not market quotations or lender/tenant commitments</x:t>
  </x:si>
  <x:si>
    <x:t xml:space="preserve">A03</x:t>
  </x:si>
  <x:si>
    <x:t xml:space="preserve">Cloud appendix assumptions</x:t>
  </x:si>
  <x:si>
    <x:t xml:space="preserve">4,000 GPUs; $50,000 allocated cost; $4/paid hour; 75% paid utilization.</x:t>
  </x:si>
  <x:si>
    <x:t xml:space="preserve">Not GMI financials or equipment quotations</x:t>
  </x:si>
  <x:si>
    <x:t xml:space="preserve">D01</x:t>
  </x:si>
  <x:si>
    <x:t xml:space="preserve">Land diligence</x:t>
  </x:si>
  <x:si>
    <x:t xml:space="preserve">Parcel, title, easements, appraisal, geotechnical/environmental review.</x:t>
  </x:si>
  <x:si>
    <x:t xml:space="preserve">NOT COLLECTED</x:t>
  </x:si>
  <x:si>
    <x:t xml:space="preserve">Land opportunity cost is not construction cash already available</x:t>
  </x:si>
  <x:si>
    <x:t xml:space="preserve">Actual parcel documents required</x:t>
  </x:si>
  <x:si>
    <x:t xml:space="preserve">D02</x:t>
  </x:si>
  <x:si>
    <x:t xml:space="preserve">Power diligence</x:t>
  </x:si>
  <x:si>
    <x:t xml:space="preserve">Executed service documents, utility studies, MW definition and milestones.</x:t>
  </x:si>
  <x:si>
    <x:t xml:space="preserve">Requested or reserved power is not energized IT power</x:t>
  </x:si>
  <x:si>
    <x:t xml:space="preserve">Serving utility and independent engineer</x:t>
  </x:si>
  <x:si>
    <x:t xml:space="preserve">D03</x:t>
  </x:si>
  <x:si>
    <x:t xml:space="preserve">Design diligence</x:t>
  </x:si>
  <x:si>
    <x:t xml:space="preserve">Critical IT load, redundancy, cooling, rack and utility demarcation.</x:t>
  </x:si>
  <x:si>
    <x:t xml:space="preserve">PUE is not a peak-capacity design</x:t>
  </x:si>
  <x:si>
    <x:t xml:space="preserve">Qualified mechanical/electrical engineer</x:t>
  </x:si>
  <x:si>
    <x:t xml:space="preserve">D04</x:t>
  </x:si>
  <x:si>
    <x:t xml:space="preserve">Construction diligence</x:t>
  </x:si>
  <x:si>
    <x:t xml:space="preserve">Scope-matched bids, lead times, commissioning, warranties and contingency.</x:t>
  </x:si>
  <x:si>
    <x:t xml:space="preserve">All cost lines remain allowances</x:t>
  </x:si>
  <x:si>
    <x:t xml:space="preserve">Qualified mission-critical contractor</x:t>
  </x:si>
  <x:si>
    <x:t xml:space="preserve">D05</x:t>
  </x:si>
  <x:si>
    <x:t xml:space="preserve">Lease diligence</x:t>
  </x:si>
  <x:si>
    <x:t xml:space="preserve">Entity, term, billable ramp, acceptance, services, recovery and remedies.</x:t>
  </x:si>
  <x:si>
    <x:t xml:space="preserve">Do not mix gross and NNN rent assumptions</x:t>
  </x:si>
  <x:si>
    <x:t xml:space="preserve">Executed lease and market evidence</x:t>
  </x:si>
  <x:si>
    <x:t xml:space="preserve">D06</x:t>
  </x:si>
  <x:si>
    <x:t xml:space="preserve">Tenant and lender diligence</x:t>
  </x:si>
  <x:si>
    <x:t xml:space="preserve">Financials, guarantor, collateral, advance basis, maturity and reserves.</x:t>
  </x:si>
  <x:si>
    <x:t xml:space="preserve">Company customer or investor does not automatically guarantee rent</x:t>
  </x:si>
  <x:si>
    <x:t xml:space="preserve">Tenant, lender and counsel</x:t>
  </x:si>
  <x:si>
    <x:t xml:space="preserve">D07</x:t>
  </x:si>
  <x:si>
    <x:t xml:space="preserve">Utility billing diligence</x:t>
  </x:si>
  <x:si>
    <x:t xml:space="preserve">Applicable tariff, demand/energy profile, fixed and adjustment charges.</x:t>
  </x:si>
  <x:si>
    <x:t xml:space="preserve">Replace blended-rate shortcut with bill model</x:t>
  </x:si>
  <x:si>
    <x:t xml:space="preserve">Serving utility tariff and interval data</x:t>
  </x:si>
  <x:si>
    <x:t xml:space="preserve">D08</x:t>
  </x:si>
  <x:si>
    <x:t xml:space="preserve">Exit diligence</x:t>
  </x:si>
  <x:si>
    <x:t xml:space="preserve">Buyer valuation, remaining lease, retrofit cost and alternate uses.</x:t>
  </x:si>
  <x:si>
    <x:t xml:space="preserve">Exit cap is assumption; reserve may not fund major retrofit</x:t>
  </x:si>
  <x:si>
    <x:t xml:space="preserve">Appraiser, engineer and market participants</x:t>
  </x:si>
  <x:si>
    <x:t xml:space="preserve">S08</x:t>
  </x:si>
  <x:si>
    <x:t xml:space="preserve">CBRE national universe</x:t>
  </x:si>
  <x:si>
    <x:t xml:space="preserve">10,903 MW operating; 7,481.1 MW construction; 1.4% vacancy; 80.4% preleased.</x:t>
  </x:si>
  <x:si>
    <x:t xml:space="preserve">H1 2026; published 2026-08-27</x:t>
  </x:si>
  <x:si>
    <x:t xml:space="preserve">Eight primary-market wholesale universe; not all North America</x:t>
  </x:si>
  <x:si>
    <x:t xml:space="preserve">https://www.cbre.com/insights/books/north-america-data-center-trends-h1-2026</x:t>
  </x:si>
  <x:si>
    <x:t xml:space="preserve">S09</x:t>
  </x:si>
  <x:si>
    <x:t xml:space="preserve">CBRE local market inventory</x:t>
  </x:si>
  <x:si>
    <x:t xml:space="preserve">Market-level inventory and available capacity for eight primary markets.</x:t>
  </x:si>
  <x:si>
    <x:t xml:space="preserve">Q2/H1 2026; published 2026-09-08</x:t>
  </x:si>
  <x:si>
    <x:t xml:space="preserve">Use table values; source prose contains a 10.9 MW unit inconsistency</x:t>
  </x:si>
  <x:si>
    <x:t xml:space="preserve">https://www.cbre.com/press-releases/north-american-data-center-demand-continues-to-outpace-supply-despite-record-construction</x:t>
  </x:si>
  <x:si>
    <x:t xml:space="preserve">S10</x:t>
  </x:si>
  <x:si>
    <x:t xml:space="preserve">JLL broader market</x:t>
  </x:si>
  <x:si>
    <x:t xml:space="preserve">More than 66 GW under construction; 1% vacancy in its market coverage.</x:t>
  </x:si>
  <x:si>
    <x:t xml:space="preserve">Midyear 2026; 2026-08-11</x:t>
  </x:si>
  <x:si>
    <x:t xml:space="preserve">Different coverage; no additive reconciliation to CBRE</x:t>
  </x:si>
  <x:si>
    <x:t xml:space="preserve">https://www.jll.com/en-us/insights/market-dynamics/north-america-data-centers</x:t>
  </x:si>
  <x:si>
    <x:t xml:space="preserve">S11</x:t>
  </x:si>
  <x:si>
    <x:t xml:space="preserve">CoreWeave financial filing</x:t>
  </x:si>
  <x:si>
    <x:t xml:space="preserve">Balance sheet, lease liabilities and noncommenced commitments.</x:t>
  </x:si>
  <x:si>
    <x:t xml:space="preserve">June 30, 2026; Q2 Form 10-Q</x:t>
  </x:si>
  <x:si>
    <x:t xml:space="preserve">Issuer disclosure; not a tenant-entity guarantee or current rating</x:t>
  </x:si>
  <x:si>
    <x:t xml:space="preserve">https://www.sec.gov/Archives/edgar/data/1769628/000176962826000366/crwv-20260630.htm</x:t>
  </x:si>
  <x:si>
    <x:t xml:space="preserve">S12</x:t>
  </x:si>
  <x:si>
    <x:t xml:space="preserve">Nebius financial filing</x:t>
  </x:si>
  <x:si>
    <x:t xml:space="preserve">June 30, 2026; 2026-08-12</x:t>
  </x:si>
  <x:si>
    <x:t xml:space="preserve">S13</x:t>
  </x:si>
  <x:si>
    <x:t xml:space="preserve">Nebius–Meta contract</x:t>
  </x:si>
  <x:si>
    <x:t xml:space="preserve">Conditional unsold-capacity order up to $15bn; five-year orders; delivery terms.</x:t>
  </x:si>
  <x:si>
    <x:t xml:space="preserve">2026-03-16 Form 6-K</x:t>
  </x:si>
  <x:si>
    <x:t xml:space="preserve">Not a blanket property-lease guarantee</x:t>
  </x:si>
  <x:si>
    <x:t xml:space="preserve">https://www.sec.gov/Archives/edgar/data/1513845/000110465926027886/tm268879d1_6k.htm</x:t>
  </x:si>
  <x:si>
    <x:t xml:space="preserve">S14</x:t>
  </x:si>
  <x:si>
    <x:t xml:space="preserve">GMI financing announcement</x:t>
  </x:si>
  <x:si>
    <x:t xml:space="preserve">$223m Series B equity + $445m CTBC-led credit facility = $668m announced.</x:t>
  </x:si>
  <x:si>
    <x:t xml:space="preserve">2026-10-01; company-issued release</x:t>
  </x:si>
  <x:si>
    <x:t xml:space="preserve">Drawn debt, rates, maturity and collateral not disclosed in release</x:t>
  </x:si>
  <x:si>
    <x:t xml:space="preserve">https://www.prnewswire.com/apac/news-releases/gmi-cloud-raises-over-660-million-to-accelerate-global-ai-infrastructure-expansion-302894628.html</x:t>
  </x:si>
  <x:si>
    <x:t xml:space="preserve">S15</x:t>
  </x:si>
  <x:si>
    <x:t xml:space="preserve">GII publication architecture</x:t>
  </x:si>
  <x:si>
    <x:t xml:space="preserve">Executive answer; evidence; interpretation; risks; methodology and revisions.</x:t>
  </x:si>
  <x:si>
    <x:t xml:space="preserve">Editorial model, not data-center evidence</x:t>
  </x:si>
  <x:si>
    <x:t xml:space="preserve">https://www.giinow.org/research-notes/restaurant-scale-operating-system</x:t>
  </x:si>
  <x:si>
    <x:t xml:space="preserve">S16</x:t>
  </x:si>
  <x:si>
    <x:t xml:space="preserve">EPA permitting resource</x:t>
  </x:si>
  <x:si>
    <x:t xml:space="preserve">Air-emissions permitting and regulated sources relevant to data centers.</x:t>
  </x:si>
  <x:si>
    <x:t xml:space="preserve">Local, technology- and site-specific professional review required</x:t>
  </x:si>
  <x:si>
    <x:t xml:space="preserve">https://www.epa.gov/stationary-sources-air-pollution/clean-air-act-resources-data-centers</x:t>
  </x:si>
  <x:si>
    <x:t xml:space="preserve">S17</x:t>
  </x:si>
  <x:si>
    <x:t xml:space="preserve">JLL coverage context</x:t>
  </x:si>
  <x:si>
    <x:t xml:space="preserve">JLL describes expanded hyperscale coverage and 40+ frontier markets.</x:t>
  </x:si>
  <x:si>
    <x:t xml:space="preserve">Year-end 2025 report; 2026-02-17 page</x:t>
  </x:si>
  <x:si>
    <x:t xml:space="preserve">Helps explain coverage, not a numerical bridge to CBRE</x:t>
  </x:si>
  <x:si>
    <x:t xml:space="preserve">https://www.jll.com/en-us/newsroom/jll-north-america-data-center-report-year-end-2025</x:t>
  </x:si>
  <x:si>
    <x:t xml:space="preserve">S18</x:t>
  </x:si>
  <x:si>
    <x:t xml:space="preserve">Nebius secured financing</x:t>
  </x:si>
  <x:si>
    <x:t xml:space="preserve">July 2026 secured asset-backed facility, $775m.</x:t>
  </x:si>
  <x:si>
    <x:t xml:space="preserve">2026-07-17; subsequent to June balance sheet</x:t>
  </x:si>
  <x:si>
    <x:t xml:space="preserve">Illustrates asset encumbrance; not added to June debt</x:t>
  </x:si>
  <x:si>
    <x:t xml:space="preserve">https://www.sec.gov/Archives/edgar/data/1513845/000110465926084452/tm2620683d1_6k.htm</x:t>
  </x:si>
  <x:si>
    <x:t xml:space="preserve">P01</x:t>
  </x:si>
  <x:si>
    <x:t xml:space="preserve">Valley101 GII field report</x:t>
  </x:si>
  <x:si>
    <x:t xml:space="preserve">Delivery, contract clocks, utilization, funding and uncertainty register.</x:t>
  </x:si>
  <x:si>
    <x:t xml:space="preserve">Event 2026-10-11</x:t>
  </x:si>
  <x:si>
    <x:t xml:space="preserve">Not audio-verified; preserve attributed observations</x:t>
  </x:si>
  <x:si>
    <x:t xml:space="preserve">White paper ref. [25]; pp. 17–26, 44–47</x:t>
  </x:si>
  <x:si>
    <x:t xml:space="preserve">P02</x:t>
  </x:si>
  <x:si>
    <x:t xml:space="preserve">Sohn SF GII field report</x:t>
  </x:si>
  <x:si>
    <x:t xml:space="preserve">Convertible-arbitrage presentation; credit comparison and financial reconciliation.</x:t>
  </x:si>
  <x:si>
    <x:t xml:space="preserve">Event 2026-10-13</x:t>
  </x:si>
  <x:si>
    <x:t xml:space="preserve">Adapted to lease-credit questions, not a trade or tenant rating</x:t>
  </x:si>
  <x:si>
    <x:t xml:space="preserve">White paper ref. [26]; pp. 16–20, 30–34</x:t>
  </x:si>
  <x:si>
    <x:t xml:space="preserve">P03</x:t>
  </x:si>
  <x:si>
    <x:t xml:space="preserve">GII training library</x:t>
  </x:si>
  <x:si>
    <x:t xml:space="preserve">Market sources, vocabulary, site-selection checklist and reading curriculum.</x:t>
  </x:si>
  <x:si>
    <x:t xml:space="preserve">October 2026; source index dated 2026-10-02</x:t>
  </x:si>
  <x:si>
    <x:t xml:space="preserve">Index of research, not an observed market database</x:t>
  </x:si>
  <x:si>
    <x:t xml:space="preserve">White paper ref. [27]; pp. 1–5</x:t>
  </x:si>
  <x:si>
    <x:t xml:space="preserve">M01</x:t>
  </x:si>
  <x:si>
    <x:t xml:space="preserve">2026-10-17; original preserved</x:t>
  </x:si>
  <x:si>
    <x:t xml:space="preserve">Version 2.0 adds exposition and separate modules; core inputs unchanged</x:t>
  </x:si>
  <x:si>
    <x:t xml:space="preserve">HOW TO READ THIS TAB | Methodology and bibliography; Exhibit E09</x:t>
  </x:si>
  <x:si>
    <x:t xml:space="preserve">READ | S=public source; A=teaching assumption; D=uncollected deal evidence; P=GII field research or referenced report; M=original model. Publication of a company claim is not an independent audit.</x:t>
  </x:si>
  <x:si>
    <x:t xml:space="preserve">SOURCE RECONCILIATION | Nebius non-current leases remain separate from unknown current leases. CBRE market-report universe is not interchangeable with JLL's wider coverage. No silent numerical replacements.</x:t>
  </x:si>
  <x:si>
    <x:t xml:space="preserve">P04</x:t>
  </x:si>
  <x:si>
    <x:t xml:space="preserve">Leo Cui: evidence and comparability</x:t>
  </x:si>
  <x:si>
    <x:t xml:space="preserve">Separate reported data, company claims, estimates, forecasts and hypothetical models. Reconcile accounting measures before comparing companies.</x:t>
  </x:si>
  <x:si>
    <x:t xml:space="preserve">October 2026; cutoff 2026-10-05</x:t>
  </x:si>
  <x:si>
    <x:t xml:space="preserve">Method and layout reference only; no forecasts imported into the 10 MW case.</x:t>
  </x:si>
  <x:si>
    <x:t xml:space="preserve">White paper ref. [18]; pp. 3, 6, 43, 50</x:t>
  </x:si>
  <x:si>
    <x:t xml:space="preserve">P05</x:t>
  </x:si>
  <x:si>
    <x:t xml:space="preserve">Goldman Sachs: six constraint categories</x:t>
  </x:si>
  <x:si>
    <x:t xml:space="preserve">Pervasiveness, Productivity, Price, Policy, Parts and People. Treat power-price and delivery constraints as different underwriting questions.</x:t>
  </x:si>
  <x:si>
    <x:t xml:space="preserve">2026-02-23</x:t>
  </x:si>
  <x:si>
    <x:t xml:space="preserve">Historical published framework; not GII forecasts or sponsorship.</x:t>
  </x:si>
  <x:si>
    <x:t xml:space="preserve">White paper ref. [19]; pp. 1–4, 9, 18</x:t>
  </x:si>
  <x:si>
    <x:t xml:space="preserve">P06</x:t>
  </x:si>
  <x:si>
    <x:t xml:space="preserve">Goldman Sachs: seven constraint categories</x:t>
  </x:si>
  <x:si>
    <x:t xml:space="preserve">August edition adds Physical environment. Cooling choices, water, weather and community effects belong in site diligence.</x:t>
  </x:si>
  <x:si>
    <x:t xml:space="preserve">2026-08-06</x:t>
  </x:si>
  <x:si>
    <x:t xml:space="preserve">Keep reinvestment definitions intact; capex/OCF differs from (capex+R&amp;D)/(OCF+R&amp;D).</x:t>
  </x:si>
  <x:si>
    <x:t xml:space="preserve">White paper ref. [20]; pp. 1, 7–13, 15–17</x:t>
  </x:si>
  <x:si>
    <x:t xml:space="preserve">REFERENCE USE | These referenced reports inform presentation and analytical questions. Their dated company forecasts are not inserted into the GII base case. No publisher endorsement is implied; original reports are not bundled for public redistribution.</x:t>
  </x:si>
  <x:si>
    <x:t xml:space="preserve">EXHIBIT 09  |  SOURCE QUALITY AND REQUIRED DILIGENCE</x:t>
  </x:si>
  <x:si>
    <x:t xml:space="preserve">Which figures are sourced, assumed or still missing?</x:t>
  </x:si>
  <x:si>
    <x:t xml:space="preserve">THE GII CONTROL-POINT LENS  |  A credible source must supply the unit, period, geography, definition and status. Announced MW is not deliverable MW.</x:t>
  </x:si>
  <x:si>
    <x:t xml:space="preserve">PUBLISHED EVIDENCE | SELECT PRIMARY SOURCES</x:t>
  </x:si>
  <x:si>
    <x:t xml:space="preserve">SVP power rate</x:t>
  </x:si>
  <x:si>
    <x:t xml:space="preserve">Class-average rate is not an executed tariff.</x:t>
  </x:si>
  <x:si>
    <x:t xml:space="preserve">CBRE Silicon Valley</x:t>
  </x:si>
  <x:si>
    <x:t xml:space="preserve">Inventory, vacancy and rents need scope/date.</x:t>
  </x:si>
  <x:si>
    <x:t xml:space="preserve">Power pass-through precedent</x:t>
  </x:si>
  <x:si>
    <x:t xml:space="preserve">Disclosed lease structure, not GMI's lease.</x:t>
  </x:si>
  <x:si>
    <x:t xml:space="preserve">Rack density</x:t>
  </x:si>
  <x:si>
    <x:t xml:space="preserve">Architecture-specific, not a universal MW/SF.</x:t>
  </x:si>
  <x:si>
    <x:t xml:space="preserve">CBRE primary markets</x:t>
  </x:si>
  <x:si>
    <x:t xml:space="preserve">Reported universe differs from JLL's.</x:t>
  </x:si>
  <x:si>
    <x:t xml:space="preserve">JLL North America</x:t>
  </x:si>
  <x:si>
    <x:t xml:space="preserve">Broader construction universe; cannot sum to CBRE.</x:t>
  </x:si>
  <x:si>
    <x:t xml:space="preserve">CoreWeave filings</x:t>
  </x:si>
  <x:si>
    <x:t xml:space="preserve">Issuer balance sheet ≠ tenant-entity guarantee.</x:t>
  </x:si>
  <x:si>
    <x:t xml:space="preserve">Nebius filings</x:t>
  </x:si>
  <x:si>
    <x:t xml:space="preserve">Reconcile current and non-current leases.</x:t>
  </x:si>
  <x:si>
    <x:t xml:space="preserve">GMI financing release</x:t>
  </x:si>
  <x:si>
    <x:t xml:space="preserve">Equity + facility ≠ cash available to landlord.</x:t>
  </x:si>
  <x:si>
    <x:t xml:space="preserve">REQUIRED DILIGENCE | NOT YET COLLECTED</x:t>
  </x:si>
  <x:si>
    <x:t xml:space="preserve">Land/title, appraisal, easements</x:t>
  </x:si>
  <x:si>
    <x:t xml:space="preserve">Acquire independent parcel evidence.</x:t>
  </x:si>
  <x:si>
    <x:t xml:space="preserve">Executed power/interconnection</x:t>
  </x:si>
  <x:si>
    <x:t xml:space="preserve">Confirm firm MW, date, cost and curtailment.</x:t>
  </x:si>
  <x:si>
    <x:t xml:space="preserve">Cooling, redundancy, commissioning</x:t>
  </x:si>
  <x:si>
    <x:t xml:space="preserve">Engineer verifies IT MW delivery boundary.</x:t>
  </x:si>
  <x:si>
    <x:t xml:space="preserve">Matched construction bids</x:t>
  </x:si>
  <x:si>
    <x:t xml:space="preserve">Test the construction allowances.</x:t>
  </x:si>
  <x:si>
    <x:t xml:space="preserve">Lease, obligor, remedies</x:t>
  </x:si>
  <x:si>
    <x:t xml:space="preserve">Underwrite the actual tenant and guarantee.</x:t>
  </x:si>
  <x:si>
    <x:t xml:space="preserve">Creditor liens and credit support</x:t>
  </x:si>
  <x:si>
    <x:t xml:space="preserve">Avoid treating customer logo as surety.</x:t>
  </x:si>
  <x:si>
    <x:t xml:space="preserve">Exit/re-leasing and retrofits</x:t>
  </x:si>
  <x:si>
    <x:t xml:space="preserve">Model residual property adaptability.</x:t>
  </x:si>
  <x:si>
    <x:t xml:space="preserve">RETURNS | Monthly project and equity cash flow</x:t>
  </x:si>
  <x:si>
    <x:t xml:space="preserve">US$ millions displayed; underlying values remain USD. Month 0 land; 24 build months; 120 operating months. Repeat row 4 on every printed page. Monthly IRR is annualized; this is not date-based XIRR.</x:t>
  </x:si>
  <x:si>
    <x:t xml:space="preserve">CONTROL POINT | Cash timing is the bridge between physical delivery and capital returns. Trace when dollars leave, when rent starts, and when debt must be serviced.</x:t>
  </x:si>
  <x:si>
    <x:t xml:space="preserve">Phase</x:t>
  </x:si>
  <x:si>
    <x:t xml:space="preserve">Loan proceeds</x:t>
  </x:si>
  <x:si>
    <x:t xml:space="preserve">Build interest</x:t>
  </x:si>
  <x:si>
    <x:t xml:space="preserve">Op CF before debt</x:t>
  </x:si>
  <x:si>
    <x:t xml:space="preserve">Op interest</x:t>
  </x:si>
  <x:si>
    <x:t xml:space="preserve">Net asset sale</x:t>
  </x:si>
  <x:si>
    <x:t xml:space="preserve">Loan repayment</x:t>
  </x:si>
  <x:si>
    <x:t xml:space="preserve">Unlevered CF</x:t>
  </x:si>
  <x:si>
    <x:t xml:space="preserve">Equity CF</x:t>
  </x:si>
  <x:si>
    <x:t xml:space="preserve">Build</x:t>
  </x:si>
  <x:si>
    <x:t xml:space="preserve">Operations</x:t>
  </x:si>
  <x:si>
    <x:t xml:space="preserve">R154</x:t>
  </x:si>
  <x:si>
    <x:t xml:space="preserve">R155</x:t>
  </x:si>
  <x:si>
    <x:t xml:space="preserve">R156</x:t>
  </x:si>
  <x:si>
    <x:t xml:space="preserve">R157</x:t>
  </x:si>
  <x:si>
    <x:t xml:space="preserve">Initial equity funding</x:t>
  </x:si>
  <x:si>
    <x:t xml:space="preserve">R158</x:t>
  </x:si>
  <x:si>
    <x:t xml:space="preserve">Equity funding CHECK</x:t>
  </x:si>
  <x:si>
    <x:t xml:space="preserve">Structural horizon is 24 build months + 10 operating years. Unlevered cash flows exclude debt, loan fees and construction interest; equity cash flows include them. The exit assumes continued lease performance and no extra capital shortfall.</x:t>
  </x:si>
  <x:si>
    <x:t xml:space="preserve">HOW TO READ THIS TAB | Chapter 9; Exhibit E10</x:t>
  </x:si>
  <x:si>
    <x:t xml:space="preserve">READ | M is unlevered asset cash; N is levered equity cash. Negative numbers mean funding. Construction financing flows appear only in the equity calculation. Operating cash is spread evenly within each year.</x:t>
  </x:si>
  <x:si>
    <x:t xml:space="preserve">TRACE | Rows 7–31 mirror Construction; rows 32–151 mirror Landlord years 1–10. Sale and debt repayment occur at month 144. D154/D155 annualize the monthly IRR; D156 is the equity cash multiple.</x:t>
  </x:si>
  <x:si>
    <x:t xml:space="preserve">LIMIT | Fixed 24-month build and ten-year hold. No date-specific leap-year convention, income tax, promote, investor waterfall, amortization or default is included. D158 must equal zero.</x:t>
  </x:si>
  <x:si>
    <x:t xml:space="preserve">EXHIBIT 10  |  RETURN TIMING ACROSS THE INVESTMENT</x:t>
  </x:si>
  <x:si>
    <x:t xml:space="preserve">What happens to cash across construction and ten operating years?</x:t>
  </x:si>
  <x:si>
    <x:t xml:space="preserve">THE GII CONTROL-POINT LENS  |  Construction cash precedes rent; terminal value follows it. Match cash receipts and funding commitments to calendar dates.</x:t>
  </x:si>
  <x:si>
    <x:t xml:space="preserve">MONTHLY UNDERWRITING | PRINT SUMMARY</x:t>
  </x:si>
  <x:si>
    <x:t xml:space="preserve">Build period (months)</x:t>
  </x:si>
  <x:si>
    <x:t xml:space="preserve">Detailed month 0–24 remain in A:L.</x:t>
  </x:si>
  <x:si>
    <x:t xml:space="preserve">Operating hold (years)</x:t>
  </x:si>
  <x:si>
    <x:t xml:space="preserve">Full monthly schedule remains below the print view.</x:t>
  </x:si>
  <x:si>
    <x:t xml:space="preserve">Initial equity cash funded</x:t>
  </x:si>
  <x:si>
    <x:t xml:space="preserve">Reconciles to Development!D32.</x:t>
  </x:si>
  <x:si>
    <x:t xml:space="preserve">Monthly CF equity funding check</x:t>
  </x:si>
  <x:si>
    <x:t xml:space="preserve">Must equal zero.</x:t>
  </x:si>
  <x:si>
    <x:t xml:space="preserve">ANNUAL CASH TO EQUITY | SOURCE: LANDLORD</x:t>
  </x:si>
  <x:si>
    <x:t xml:space="preserve">Operating year 1</x:t>
  </x:si>
  <x:si>
    <x:t xml:space="preserve">Annual operating cash, excludes terminal sale.</x:t>
  </x:si>
  <x:si>
    <x:t xml:space="preserve">Operating year 2</x:t>
  </x:si>
  <x:si>
    <x:t xml:space="preserve">Escalating contractual rent.</x:t>
  </x:si>
  <x:si>
    <x:t xml:space="preserve">Operating year 3</x:t>
  </x:si>
  <x:si>
    <x:t xml:space="preserve">Assumes no rent default.</x:t>
  </x:si>
  <x:si>
    <x:t xml:space="preserve">Operating year 4</x:t>
  </x:si>
  <x:si>
    <x:t xml:space="preserve">Before tax and extraordinary repairs.</x:t>
  </x:si>
  <x:si>
    <x:t xml:space="preserve">Operating year 5</x:t>
  </x:si>
  <x:si>
    <x:t xml:space="preserve">Lease not yet expired.</x:t>
  </x:si>
  <x:si>
    <x:t xml:space="preserve">Operating year 6</x:t>
  </x:si>
  <x:si>
    <x:t xml:space="preserve">No financing amortization.</x:t>
  </x:si>
  <x:si>
    <x:t xml:space="preserve">Operating year 7</x:t>
  </x:si>
  <x:si>
    <x:t xml:space="preserve">Fully billed reserved IT load.</x:t>
  </x:si>
  <x:si>
    <x:t xml:space="preserve">Operating year 8</x:t>
  </x:si>
  <x:si>
    <x:t xml:space="preserve">OPEX grows separately.</x:t>
  </x:si>
  <x:si>
    <x:t xml:space="preserve">Operating year 9</x:t>
  </x:si>
  <x:si>
    <x:t xml:space="preserve">Tenant remains in modeled occupancy.</x:t>
  </x:si>
  <x:si>
    <x:t xml:space="preserve">Operating year 10</x:t>
  </x:si>
  <x:si>
    <x:t xml:space="preserve">Sales proceeds accounted for separately.</x:t>
  </x:si>
  <x:si>
    <x:t xml:space="preserve">DISCOUNTED RETURNS | MONTHLY SERIES</x:t>
  </x:si>
  <x:si>
    <x:t xml:space="preserve">Unlevered annualized project IRR</x:t>
  </x:si>
  <x:si>
    <x:t xml:space="preserve">Includes construction and year-ten sale.</x:t>
  </x:si>
  <x:si>
    <x:t xml:space="preserve">Levered annualized equity IRR</x:t>
  </x:si>
  <x:si>
    <x:t xml:space="preserve">Sensitive to exit assumption.</x:t>
  </x:si>
  <x:si>
    <x:t xml:space="preserve">Before taxes; modeled proceeds.</x:t>
  </x:si>
  <x:si>
    <x:t xml:space="preserve">Year-ten sale proceeds</x:t>
  </x:si>
  <x:si>
    <x:t xml:space="preserve">Terminal cash after sale costs and loan payoff.</x:t>
  </x:si>
  <x:si>
    <x:t xml:space="preserve">MARKET | Size the right market</x:t>
  </x:si>
  <x:si>
    <x:t xml:space="preserve">Chapter 2 • Dated public-source observations, not project demand forecasts. MW=capacity; $=spending/value; TWh=annual energy. Do not add unlike measures or overlapping project statuses.</x:t>
  </x:si>
  <x:si>
    <x:t xml:space="preserve">CONTROL POINT | Market size is not the investment thesis. The investable question is which scarce, deliverable capacity a specific property can control within a defined market.</x:t>
  </x:si>
  <x:si>
    <x:t xml:space="preserve">Geography / metric</x:t>
  </x:si>
  <x:si>
    <x:t xml:space="preserve">Inventory MW</x:t>
  </x:si>
  <x:si>
    <x:t xml:space="preserve">Available MW</x:t>
  </x:si>
  <x:si>
    <x:t xml:space="preserve">Calculated vacancy</x:t>
  </x:si>
  <x:si>
    <x:t xml:space="preserve">Source and scope</x:t>
  </x:si>
  <x:si>
    <x:t xml:space="preserve">Northern Virginia</x:t>
  </x:si>
  <x:si>
    <x:t xml:space="preserve">S09 | Q2/H1 2026; CBRE market-level wholesale data</x:t>
  </x:si>
  <x:si>
    <x:t xml:space="preserve">Silicon Valley</x:t>
  </x:si>
  <x:si>
    <x:t xml:space="preserve">S09 | City of Santa Clara is only part of this market</x:t>
  </x:si>
  <x:si>
    <x:t xml:space="preserve">Phoenix</x:t>
  </x:si>
  <x:si>
    <x:t xml:space="preserve">S09 | Same source/date; not local power-service evidence</x:t>
  </x:si>
  <x:si>
    <x:t xml:space="preserve">Calculated vacancy is available/inventory using the table's rounded values; it need not exactly match a publisher's separately rounded percentage. Availability can be split across sites and configurations.</x:t>
  </x:si>
  <x:si>
    <x:t xml:space="preserve">NATIONAL AND BROADER UNIVERSES | Not a single combined dataset</x:t>
  </x:si>
  <x:si>
    <x:t xml:space="preserve">Measure</x:t>
  </x:si>
  <x:si>
    <x:t xml:space="preserve">Period / source</x:t>
  </x:si>
  <x:si>
    <x:t xml:space="preserve">CBRE primary-market operating supply</x:t>
  </x:si>
  <x:si>
    <x:t xml:space="preserve">H1 2026 | S08</x:t>
  </x:si>
  <x:si>
    <x:t xml:space="preserve">Eight primary-market wholesale universe</x:t>
  </x:si>
  <x:si>
    <x:t xml:space="preserve">CBRE primary-market construction</x:t>
  </x:si>
  <x:si>
    <x:t xml:space="preserve">Pipeline, not operating inventory</x:t>
  </x:si>
  <x:si>
    <x:t xml:space="preserve">CBRE construction preleased</x:t>
  </x:si>
  <x:si>
    <x:t xml:space="preserve">Not proof of tenant solvency or power delivery</x:t>
  </x:si>
  <x:si>
    <x:t xml:space="preserve">JLL North America construction</x:t>
  </x:si>
  <x:si>
    <x:t xml:space="preserve">MW (more than)</x:t>
  </x:si>
  <x:si>
    <x:t xml:space="preserve">Midyear 2026 | S10</x:t>
  </x:si>
  <x:si>
    <x:t xml:space="preserve">Lower-bound transcription of &gt;66 GW; coverage differs</x:t>
  </x:si>
  <x:si>
    <x:t xml:space="preserve">Editorial reconciliation: S09 press-release prose says 10.9 MW; S08's market report states 10,903 MW. This workbook uses S08, flags the inconsistent unit, and does not silently rewrite the release.</x:t>
  </x:si>
  <x:si>
    <x:t xml:space="preserve">HOW TO APPLY THE MARKET DATA TO THE 10 MW CASE</x:t>
  </x:si>
  <x:si>
    <x:t xml:space="preserve">Investor screen</x:t>
  </x:si>
  <x:si>
    <x:t xml:space="preserve">Case / Silicon Valley inventory</x:t>
  </x:si>
  <x:si>
    <x:t xml:space="preserve">Inputs D7 / Market D8</x:t>
  </x:si>
  <x:si>
    <x:t xml:space="preserve">Scale context, not a leasing probability</x:t>
  </x:si>
  <x:si>
    <x:t xml:space="preserve">Case / published available MW</x:t>
  </x:si>
  <x:si>
    <x:t xml:space="preserve">Inputs D7 / Market E8</x:t>
  </x:si>
  <x:si>
    <x:t xml:space="preserve">Published availability may not form one usable 10 MW block</x:t>
  </x:si>
  <x:si>
    <x:t xml:space="preserve">Silicon Valley construction</x:t>
  </x:si>
  <x:si>
    <x:t xml:space="preserve">S02 | H1 2026</x:t>
  </x:si>
  <x:si>
    <x:t xml:space="preserve">Do not label every under-construction MW as available</x:t>
  </x:si>
  <x:si>
    <x:t xml:space="preserve">Silicon Valley H1 net absorption</x:t>
  </x:si>
  <x:si>
    <x:t xml:space="preserve">MW / half-year</x:t>
  </x:si>
  <x:si>
    <x:t xml:space="preserve">Do not silently call this an annual rate</x:t>
  </x:si>
  <x:si>
    <x:t xml:space="preserve">Investment interpretation: quantify competing contiguous capacity, delivery date, cooling/rack compatibility and tenant price. A small national share does not make a local project easy to lease.</x:t>
  </x:si>
  <x:si>
    <x:t xml:space="preserve">SOURCE LINKS | Market facts: S02, S08–S10, S17 in Research. Market table: https://www.cbre.com/press-releases/north-american-data-center-demand-continues-to-outpace-supply-despite-record-construction</x:t>
  </x:si>
  <x:si>
    <x:t xml:space="preserve">COVERAGE CONTROL | JLL describes expanded hyperscale coverage and frontier markets (S17). This explains a possible scope difference, not the exact 66 GW versus 7,481.1 MW numerical bridge. No averaging or subtraction.</x:t>
  </x:si>
  <x:si>
    <x:t xml:space="preserve">MISSING | Parcel-level competitive set, signed tenant requirements, local tariff quotes and a reconciled full-market property census. No global market capitalization or enterprise-value total is constructed.</x:t>
  </x:si>
  <x:si>
    <x:t xml:space="preserve">EXHIBIT 11  |  HOW LARGE IS THE ADDRESSABLE MARKET?</x:t>
  </x:si>
  <x:si>
    <x:t xml:space="preserve">Where do capacity, rent and supply statistics actually apply?</x:t>
  </x:si>
  <x:si>
    <x:t xml:space="preserve">THE GII CONTROL-POINT LENS  |  Growth in national GW cannot substitute for a financed tenant, firm deliverable power and local competitive conditions.</x:t>
  </x:si>
  <x:si>
    <x:t xml:space="preserve">THREE CBRE MARKETS | H1 2026 SNAPSHOT</x:t>
  </x:si>
  <x:si>
    <x:t xml:space="preserve">Northern Virginia inventory</x:t>
  </x:si>
  <x:si>
    <x:t xml:space="preserve">Market inventory, NOT vacant or new capacity.</x:t>
  </x:si>
  <x:si>
    <x:t xml:space="preserve">Northern Virginia available MW</x:t>
  </x:si>
  <x:si>
    <x:t xml:space="preserve">Within publisher's market scope.</x:t>
  </x:si>
  <x:si>
    <x:t xml:space="preserve">Silicon Valley inventory</x:t>
  </x:si>
  <x:si>
    <x:t xml:space="preserve">Geography ≠ just City of Santa Clara.</x:t>
  </x:si>
  <x:si>
    <x:t xml:space="preserve">Silicon Valley available MW</x:t>
  </x:si>
  <x:si>
    <x:t xml:space="preserve">Different from construction MW.</x:t>
  </x:si>
  <x:si>
    <x:t xml:space="preserve">Phoenix inventory</x:t>
  </x:si>
  <x:si>
    <x:t xml:space="preserve">Compare date and definitions.</x:t>
  </x:si>
  <x:si>
    <x:t xml:space="preserve">Phoenix available MW</x:t>
  </x:si>
  <x:si>
    <x:t xml:space="preserve">Do not interpret as actual project demand.</x:t>
  </x:si>
  <x:si>
    <x:t xml:space="preserve">NATIONAL CAPACITY | DIFFERENT REPORTING UNIVERSES</x:t>
  </x:si>
  <x:si>
    <x:t xml:space="preserve">CBRE primary-market existing supply</x:t>
  </x:si>
  <x:si>
    <x:t xml:space="preserve">Existing supply in CBRE-defined primary markets.</x:t>
  </x:si>
  <x:si>
    <x:t xml:space="preserve">Pipeline under construction, not operating.</x:t>
  </x:si>
  <x:si>
    <x:t xml:space="preserve">CBRE primary-market preleasing</x:t>
  </x:si>
  <x:si>
    <x:t xml:space="preserve">Share within reported construction universe.</x:t>
  </x:si>
  <x:si>
    <x:t xml:space="preserve">Different source coverage; not additive.</x:t>
  </x:si>
  <x:si>
    <x:t xml:space="preserve">SILICON VALLEY INVESTOR SCREEN</x:t>
  </x:si>
  <x:si>
    <x:t xml:space="preserve">Case / SV existing inventory</x:t>
  </x:si>
  <x:si>
    <x:t xml:space="preserve">Not a market-share prediction.</x:t>
  </x:si>
  <x:si>
    <x:t xml:space="preserve">Case / SV available MW</x:t>
  </x:si>
  <x:si>
    <x:t xml:space="preserve">Availability is fragmented; cannot assume 10 MW block.</x:t>
  </x:si>
  <x:si>
    <x:t xml:space="preserve">SV under construction</x:t>
  </x:si>
  <x:si>
    <x:t xml:space="preserve">Commissioning dates matter.</x:t>
  </x:si>
  <x:si>
    <x:t xml:space="preserve">SV recent net absorption</x:t>
  </x:si>
  <x:si>
    <x:t xml:space="preserve">Reported over H1 2026.</x:t>
  </x:si>
  <x:si>
    <x:t xml:space="preserve">Property-level competitive screen</x:t>
  </x:si>
  <x:si>
    <x:t xml:space="preserve">Requires actual contiguous site/lease comps.</x:t>
  </x:si>
  <x:si>
    <x:t xml:space="preserve">TENANT CREDIT | CoreWeave and Nebius</x:t>
  </x:si>
  <x:si>
    <x:t xml:space="preserve">Chapter 10 • Historical June 30, 2026 issuer snapshot. Company-level accounting data, NOT a lease credit rating. Exact tenant entity, support documents and subsequent obligations still require diligence.</x:t>
  </x:si>
  <x:si>
    <x:t xml:space="preserve">CONTROL POINT | The real estate landlord must follow the legal tenant, guarantee and secured collateral.</x:t>
  </x:si>
  <x:si>
    <x:t xml:space="preserve">Metric (US$ millions)</x:t>
  </x:si>
  <x:si>
    <x:t xml:space="preserve">CoreWeave (CRWV)</x:t>
  </x:si>
  <x:si>
    <x:t xml:space="preserve">Nebius (NBIS)</x:t>
  </x:si>
  <x:si>
    <x:t xml:space="preserve">Interpretation / source</x:t>
  </x:si>
  <x:si>
    <x:t xml:space="preserve">Total assets</x:t>
  </x:si>
  <x:si>
    <x:t xml:space="preserve">S11/S12 | Total accounting assets, not realizable collateral</x:t>
  </x:si>
  <x:si>
    <x:t xml:space="preserve">Total liabilities</x:t>
  </x:si>
  <x:si>
    <x:t xml:space="preserve">S11/S12 | Includes liabilities beyond funded debt</x:t>
  </x:si>
  <x:si>
    <x:t xml:space="preserve">Total book equity</x:t>
  </x:si>
  <x:si>
    <x:t xml:space="preserve">S11/S12 | Total equity including noncontrolling interests</x:t>
  </x:si>
  <x:si>
    <x:t xml:space="preserve">Assets / equity</x:t>
  </x:si>
  <x:si>
    <x:t xml:space="preserve">Calculated accounting leverage; not debt/equity or default probability</x:t>
  </x:si>
  <x:si>
    <x:t xml:space="preserve">Operating leases: current</x:t>
  </x:si>
  <x:si>
    <x:t xml:space="preserve">Operating leases: non-current</x:t>
  </x:si>
  <x:si>
    <x:t xml:space="preserve">Operating leases: total</x:t>
  </x:si>
  <x:si>
    <x:t xml:space="preserve">Executed leases not commenced</x:t>
  </x:si>
  <x:si>
    <x:t xml:space="preserve">OWNED VERSUS LEASED | Attribution is not a property census</x:t>
  </x:si>
  <x:si>
    <x:t xml:space="preserve">Conference slide estimate</x:t>
  </x:si>
  <x:si>
    <x:t xml:space="preserve">CoreWeave</x:t>
  </x:si>
  <x:si>
    <x:t xml:space="preserve">Nebius</x:t>
  </x:si>
  <x:si>
    <x:t xml:space="preserve">Evidence boundary</x:t>
  </x:si>
  <x:si>
    <x:t xml:space="preserve">Known build pipeline share</x:t>
  </x:si>
  <x:si>
    <x:t xml:space="preserve">92% leased</x:t>
  </x:si>
  <x:si>
    <x:t xml:space="preserve">70% owned-build</x:t>
  </x:si>
  <x:si>
    <x:t xml:space="preserve">P02 p.19 | Speaker-slide/Wells Fargo methodology, not independently reconstructed</x:t>
  </x:si>
  <x:si>
    <x:t xml:space="preserve">Credit lesson</x:t>
  </x:si>
  <x:si>
    <x:t xml:space="preserve">Fixed rent commitments</x:t>
  </x:si>
  <x:si>
    <x:t xml:space="preserve">Up-front capital + asset risk</x:t>
  </x:si>
  <x:si>
    <x:t xml:space="preserve">Neither ownership percentage alone establishes collateral access or payment capacity</x:t>
  </x:si>
  <x:si>
    <x:t xml:space="preserve">Do not add discounted operating-lease liabilities to undiscounted future commitments without a dated, reconciled obligation schedule. Asset ownership does not prove that the lease creditor can reach that asset.</x:t>
  </x:si>
  <x:si>
    <x:t xml:space="preserve">LEASE-CREDIT QUESTIONS | Follow legal obligations, not company logos</x:t>
  </x:si>
  <x:si>
    <x:t xml:space="preserve">Test</x:t>
  </x:si>
  <x:si>
    <x:t xml:space="preserve">Evidence status</x:t>
  </x:si>
  <x:si>
    <x:t xml:space="preserve">Required document</x:t>
  </x:si>
  <x:si>
    <x:t xml:space="preserve">Underwriting use</x:t>
  </x:si>
  <x:si>
    <x:t xml:space="preserve">Legal tenant and parent support</x:t>
  </x:si>
  <x:si>
    <x:t xml:space="preserve">UNRESOLVED</x:t>
  </x:si>
  <x:si>
    <x:t xml:space="preserve">Executed lease; organization chart; guarantee</x:t>
  </x:si>
  <x:si>
    <x:t xml:space="preserve">Establish who owes rent and which balance sheet is relevant</x:t>
  </x:si>
  <x:si>
    <x:t xml:space="preserve">Customer cash conversion</x:t>
  </x:si>
  <x:si>
    <x:t xml:space="preserve">Backlog/RPO to delivery, bills, collections and cash bridge</x:t>
  </x:si>
  <x:si>
    <x:t xml:space="preserve">Do not equate backlog with cash available for rent</x:t>
  </x:si>
  <x:si>
    <x:t xml:space="preserve">Liquidity after commitments</x:t>
  </x:si>
  <x:si>
    <x:t xml:space="preserve">Cash restrictions; capex, debt and leases by maturity</x:t>
  </x:si>
  <x:si>
    <x:t xml:space="preserve">Cash on hand must be read against promised spending</x:t>
  </x:si>
  <x:si>
    <x:t xml:space="preserve">Collateral and priority</x:t>
  </x:si>
  <x:si>
    <x:t xml:space="preserve">Asset register; liens; financing and intercreditor documents</x:t>
  </x:si>
  <x:si>
    <x:t xml:space="preserve">Owned facilities may support secured creditors first</x:t>
  </x:si>
  <x:si>
    <x:t xml:space="preserve">Meta unsold-capacity arrangement</x:t>
  </x:si>
  <x:si>
    <x:t xml:space="preserve">PUBLICLY DISCLOSED</x:t>
  </x:si>
  <x:si>
    <x:t xml:space="preserve">S13 | Qualifying unsold capacity, up to $15bn</x:t>
  </x:si>
  <x:si>
    <x:t xml:space="preserve">Not a blanket guarantee of every Nebius facility lease</x:t>
  </x:si>
  <x:si>
    <x:t xml:space="preserve">Downside and recovery</x:t>
  </x:si>
  <x:si>
    <x:t xml:space="preserve">Downtime, retrofit, legal and re-leasing scenarios</x:t>
  </x:si>
  <x:si>
    <x:t xml:space="preserve">No numeric default probabilities or recovery ratings assigned</x:t>
  </x:si>
  <x:si>
    <x:t xml:space="preserve">Sohn origin: Franklin Parlamis presented a convertible-arbitrage thesis, not landlord credit ratings. This tab adapts the balance-sheet and contract questions; it does not recommend his securities trade.</x:t>
  </x:si>
  <x:si>
    <x:t xml:space="preserve">SUBSEQUENT EVENT | S18 records a $775m Nebius secured facility in July 2026. It illustrates why owned assets may be pledged; it is not automatically added to the June 30 balance sheet.</x:t>
  </x:si>
  <x:si>
    <x:t xml:space="preserve">EXHIBIT 12  |  COREWEAVE VERSUS NEBIUS</x:t>
  </x:si>
  <x:si>
    <x:t xml:space="preserve">Why is the named counterparty not the complete credit story?</x:t>
  </x:si>
  <x:si>
    <x:t xml:space="preserve">THE GII CONTROL-POINT LENS  |  Follow the named legal tenant, available cash, guarantees and lien priorities—not the recognized customer or investor logo.</x:t>
  </x:si>
  <x:si>
    <x:t xml:space="preserve">BALANCE-SHEET SNAPSHOT | JUNE 30, 2026</x:t>
  </x:si>
  <x:si>
    <x:t xml:space="preserve">CoreWeave assets</x:t>
  </x:si>
  <x:si>
    <x:t xml:space="preserve">Issuer consolidated, not project-specific.</x:t>
  </x:si>
  <x:si>
    <x:t xml:space="preserve">Nebius assets</x:t>
  </x:si>
  <x:si>
    <x:t xml:space="preserve">CoreWeave total liabilities</x:t>
  </x:si>
  <x:si>
    <x:t xml:space="preserve">Includes more than funded debt.</x:t>
  </x:si>
  <x:si>
    <x:t xml:space="preserve">Nebius total liabilities</x:t>
  </x:si>
  <x:si>
    <x:t xml:space="preserve">Cannot infer creditor priority.</x:t>
  </x:si>
  <x:si>
    <x:t xml:space="preserve">CoreWeave book equity</x:t>
  </x:si>
  <x:si>
    <x:t xml:space="preserve">Book value, not available guarantee cash.</x:t>
  </x:si>
  <x:si>
    <x:t xml:space="preserve">Nebius book equity</x:t>
  </x:si>
  <x:si>
    <x:t xml:space="preserve">Book value, not liquidation value.</x:t>
  </x:si>
  <x:si>
    <x:t xml:space="preserve">CoreWeave assets / equity</x:t>
  </x:si>
  <x:si>
    <x:t xml:space="preserve">Accounting leverage, not default likelihood.</x:t>
  </x:si>
  <x:si>
    <x:t xml:space="preserve">Nebius assets / equity</x:t>
  </x:si>
  <x:si>
    <x:t xml:space="preserve">Not funded debt/equity.</x:t>
  </x:si>
  <x:si>
    <x:t xml:space="preserve">LEASE LIABILITIES | DO NOT COMPARE WRONG DENOMINATORS</x:t>
  </x:si>
  <x:si>
    <x:t xml:space="preserve">CoreWeave total operating leases</x:t>
  </x:si>
  <x:si>
    <x:t xml:space="preserve">Current plus non-current.</x:t>
  </x:si>
  <x:si>
    <x:t xml:space="preserve">LANDLORD CREDIT CHECKLIST</x:t>
  </x:si>
  <x:si>
    <x:t xml:space="preserve">Exact legal tenant entity</x:t>
  </x:si>
  <x:si>
    <x:t xml:space="preserve">Obtain agreement and structure chart.</x:t>
  </x:si>
  <x:si>
    <x:t xml:space="preserve">Executed parent guarantee</x:t>
  </x:si>
  <x:si>
    <x:t xml:space="preserve">Name and terms—not name recognition.</x:t>
  </x:si>
  <x:si>
    <x:t xml:space="preserve">Committed-to-billed-to-cash bridge</x:t>
  </x:si>
  <x:si>
    <x:t xml:space="preserve">Backlog is not rent cash.</x:t>
  </x:si>
  <x:si>
    <x:t xml:space="preserve">Collateral and lien priorities</x:t>
  </x:si>
  <x:si>
    <x:t xml:space="preserve">Owned facilities may be pledged.</x:t>
  </x:si>
  <x:si>
    <x:t xml:space="preserve">Re-leasing recoverable value</x:t>
  </x:si>
  <x:si>
    <x:t xml:space="preserve">Technical fit and payment priority matter.</x:t>
  </x:si>
  <x:si>
    <x:t xml:space="preserve">GMI CLOUD | Independent private-neocloud case</x:t>
  </x:si>
  <x:si>
    <x:t xml:space="preserve">Chapter 11 • Publicly disclosed financing components and attributed Valley101 observations. Not sponsored, commissioned, funded or endorsed by GMI Cloud. No actual 10 MW GMI project, contract or forecast is modeled.</x:t>
  </x:si>
  <x:si>
    <x:t xml:space="preserve">CONTROL POINT | GMI Cloud is used as an independent neocloud case because public financing disclosures illuminate how capital supports infrastructure growth; this is not a GMI-sponsored case.</x:t>
  </x:si>
  <x:si>
    <x:t xml:space="preserve">Financing component</x:t>
  </x:si>
  <x:si>
    <x:t xml:space="preserve">US$ millions</x:t>
  </x:si>
  <x:si>
    <x:t xml:space="preserve">Share of announced total</x:t>
  </x:si>
  <x:si>
    <x:t xml:space="preserve">What is established</x:t>
  </x:si>
  <x:si>
    <x:t xml:space="preserve">Series B equity</x:t>
  </x:si>
  <x:si>
    <x:t xml:space="preserve">S14 | Company-issued release dated October 1, 2026</x:t>
  </x:si>
  <x:si>
    <x:t xml:space="preserve">CTBC-led credit facility</x:t>
  </x:si>
  <x:si>
    <x:t xml:space="preserve">S14 | Borrowing capacity; drawn amount not provided</x:t>
  </x:si>
  <x:si>
    <x:t xml:space="preserve">Total announced financing</x:t>
  </x:si>
  <x:si>
    <x:t xml:space="preserve">Arithmetic sum of two different capital forms</x:t>
  </x:si>
  <x:si>
    <x:t xml:space="preserve">DO NOT TURN FINANCING ANNOUNCEMENTS INTO A LEASE GUARANTEE</x:t>
  </x:si>
  <x:si>
    <x:t xml:space="preserve">Question</x:t>
  </x:si>
  <x:si>
    <x:t xml:space="preserve">Public-release status</x:t>
  </x:si>
  <x:si>
    <x:t xml:space="preserve">Required evidence</x:t>
  </x:si>
  <x:si>
    <x:t xml:space="preserve">Why it matters</x:t>
  </x:si>
  <x:si>
    <x:t xml:space="preserve">Debt actually drawn</x:t>
  </x:si>
  <x:si>
    <x:t xml:space="preserve">NOT DISCLOSED HERE</x:t>
  </x:si>
  <x:si>
    <x:t xml:space="preserve">Borrowing statement and undrawn availability</x:t>
  </x:si>
  <x:si>
    <x:t xml:space="preserve">$445m facility is not $445m cash or debt drawn</x:t>
  </x:si>
  <x:si>
    <x:t xml:space="preserve">Rate, maturity and covenants</x:t>
  </x:si>
  <x:si>
    <x:t xml:space="preserve">Executed credit agreement / term sheet</x:t>
  </x:si>
  <x:si>
    <x:t xml:space="preserve">Cannot reproduce financing economics</x:t>
  </x:si>
  <x:si>
    <x:t xml:space="preserve">Collateral and cash restrictions</x:t>
  </x:si>
  <x:si>
    <x:t xml:space="preserve">Security and cash-control documents</x:t>
  </x:si>
  <x:si>
    <x:t xml:space="preserve">Cash may not be available to a particular tenant entity</x:t>
  </x:si>
  <x:si>
    <x:t xml:space="preserve">Contracted ARR to collected cash</x:t>
  </x:si>
  <x:si>
    <x:t xml:space="preserve">NOT RECONCILED</x:t>
  </x:si>
  <x:si>
    <x:t xml:space="preserve">Delivery, billing and collection schedule</x:t>
  </x:si>
  <x:si>
    <x:t xml:space="preserve">Annualized indicators are not annual revenue or cash</x:t>
  </x:si>
  <x:si>
    <x:t xml:space="preserve">Guarantee of property rent</x:t>
  </x:si>
  <x:si>
    <x:t xml:space="preserve">NOT ESTABLISHED</x:t>
  </x:si>
  <x:si>
    <x:t xml:space="preserve">Specific executed landlord support</x:t>
  </x:si>
  <x:si>
    <x:t xml:space="preserve">Investor/customer/supplier relationships create different obligations</x:t>
  </x:si>
  <x:si>
    <x:t xml:space="preserve">SOURCE | https://www.prnewswire.com/apac/news-releases/gmi-cloud-raises-over-660-million-to-accelerate-global-ai-infrastructure-expansion-302894628.html | S14; company disclosure, not audited economics.</x:t>
  </x:si>
  <x:si>
    <x:t xml:space="preserve">VALLEY101 OPERATING LESSONS | Attributed, not universal terms</x:t>
  </x:si>
  <x:si>
    <x:t xml:space="preserve">Attributed account</x:t>
  </x:si>
  <x:si>
    <x:t xml:space="preserve">Landlord implication</x:t>
  </x:si>
  <x:si>
    <x:t xml:space="preserve">Different contract clocks</x:t>
  </x:si>
  <x:si>
    <x:t xml:space="preserve">12–15-year facility leases; 4–6-year compute contracts</x:t>
  </x:si>
  <x:si>
    <x:t xml:space="preserve">P01 pp.20–21; attributed discussion</x:t>
  </x:si>
  <x:si>
    <x:t xml:space="preserve">Request the actual maturity/renewal schedule; not every lease has these terms</x:t>
  </x:si>
  <x:si>
    <x:t xml:space="preserve">Utilization</x:t>
  </x:si>
  <x:si>
    <x:t xml:space="preserve">Paid-utilization claims</x:t>
  </x:si>
  <x:si>
    <x:t xml:space="preserve">P01 pp. 22–23; attributed discussion</x:t>
  </x:si>
  <x:si>
    <x:t xml:space="preserve">Paid time, electrical loading and contractual capacity differ</x:t>
  </x:si>
  <x:si>
    <x:t xml:space="preserve">Lockbox / SPV</x:t>
  </x:si>
  <x:si>
    <x:t xml:space="preserve">Priority routing of cash described</x:t>
  </x:si>
  <x:si>
    <x:t xml:space="preserve">P01 p.21; not an executed GMI deal</x:t>
  </x:si>
  <x:si>
    <x:t xml:space="preserve">Routing affects order of payment, not total cash sufficiency</x:t>
  </x:si>
  <x:si>
    <x:t xml:space="preserve">Regional financing</x:t>
  </x:si>
  <x:si>
    <x:t xml:space="preserve">Taiwan/NTD financing referenced in notes</x:t>
  </x:si>
  <x:si>
    <x:t xml:space="preserve">P01 p.19; field notes, not final terms</x:t>
  </x:si>
  <x:si>
    <x:t xml:space="preserve">Compare hedged dollar costs, restrictions and counterparties</x:t>
  </x:si>
  <x:si>
    <x:t xml:space="preserve">COMPANY CASE ≠ MODEL TENANT | Every modeled dollar of rent, construction cost, electricity and investment return belongs to a hypothetical property. Public GMI financing figures stay here and are not inputs to Development, Landlord or Monthly CF.</x:t>
  </x:si>
  <x:si>
    <x:t xml:space="preserve">RESEARCH INTERPRETATION | The landlord should test how a delivery promise becomes billable service, collected cash and capacity to meet rent. A financing announcement alone answers none of those project-level questions.</x:t>
  </x:si>
  <x:si>
    <x:t xml:space="preserve">EXHIBIT 13  |  GMI CLOUD: PUBLIC FINANCING DISCLOSURE</x:t>
  </x:si>
  <x:si>
    <x:t xml:space="preserve">What do public financing amounts prove and not prove?</x:t>
  </x:si>
  <x:si>
    <x:t xml:space="preserve">THE GII CONTROL-POINT LENS  |  A public fundraising announcement does not establish drawn borrowings, landlord recourse or a lease guarantee.</x:t>
  </x:si>
  <x:si>
    <x:t xml:space="preserve">PUBLIC FINANCING | NOT A PROPERTY GUARANTEE</x:t>
  </x:si>
  <x:si>
    <x:t xml:space="preserve">Issuer announcement of raised equity.</x:t>
  </x:si>
  <x:si>
    <x:t xml:space="preserve">Availability and draw terms not established here.</x:t>
  </x:si>
  <x:si>
    <x:t xml:space="preserve">Equity + facility ≠ unrestricted bank cash.</x:t>
  </x:si>
  <x:si>
    <x:t xml:space="preserve">Equity share of announced package</x:t>
  </x:si>
  <x:si>
    <x:t xml:space="preserve">Derived composition, not cost of capital.</x:t>
  </x:si>
  <x:si>
    <x:t xml:space="preserve">Credit facility share</x:t>
  </x:si>
  <x:si>
    <x:t xml:space="preserve">Not actual outstanding debt.</x:t>
  </x:si>
  <x:si>
    <x:t xml:space="preserve">Borrowing statement, available/undrawn amount.</x:t>
  </x:si>
  <x:si>
    <x:t xml:space="preserve">Interest, maturity and covenants</x:t>
  </x:si>
  <x:si>
    <x:t xml:space="preserve">Executed financing documentation.</x:t>
  </x:si>
  <x:si>
    <x:t xml:space="preserve">Collateral and payment restrictions</x:t>
  </x:si>
  <x:si>
    <x:t xml:space="preserve">Security documentation and cash waterfall.</x:t>
  </x:si>
  <x:si>
    <x:t xml:space="preserve">Contracted ARR → cash collected</x:t>
  </x:si>
  <x:si>
    <x:t xml:space="preserve">Reconcile deployment, billing and collections.</x:t>
  </x:si>
  <x:si>
    <x:t xml:space="preserve">Executed property rent guarantee</x:t>
  </x:si>
  <x:si>
    <x:t xml:space="preserve">Must exist at exact tenant/guarantor entity.</x:t>
  </x:si>
  <x:si>
    <x:t xml:space="preserve">VALLEY101 | SPEAKER OBSERVATIONS</x:t>
  </x:si>
  <x:si>
    <x:t xml:space="preserve">Lease vs compute contract clock</x:t>
  </x:si>
  <x:si>
    <x:t xml:space="preserve">Attributed typical 12–15 vs 4–6 years, NOT an actual deal.</x:t>
  </x:si>
  <x:si>
    <x:t xml:space="preserve">Cloud utilization</x:t>
  </x:si>
  <x:si>
    <x:t xml:space="preserve">Paid utilization is not landowner occupancy.</x:t>
  </x:si>
  <x:si>
    <x:t xml:space="preserve">Lockbox and SPV example</x:t>
  </x:si>
  <x:si>
    <x:t xml:space="preserve">Speaker illustration, NOT confirmed GMI transaction.</x:t>
  </x:si>
  <x:si>
    <x:t xml:space="preserve">International financing</x:t>
  </x:si>
  <x:si>
    <x:t xml:space="preserve">All-in FX-hedged cost required.</x:t>
  </x:si>
  <x:si>
    <x:t xml:space="preserve">LEASE SCREEN | What supports collectible rent?</x:t>
  </x:si>
  <x:si>
    <x:t xml:space="preserve">Chapters 4, 7 and 10 • A decision checklist tied to the GII base case, not legal language or an actual lease. Have qualified counsel and engineers review site- and transaction-specific documents.</x:t>
  </x:si>
  <x:si>
    <x:t xml:space="preserve">CONTROL POINT | The lease converts physical infrastructure into financial infrastructure. Delivery, acceptance, expense recovery, credit support and remedies determine whether nominal rent becomes collectible cash.</x:t>
  </x:si>
  <x:si>
    <x:t xml:space="preserve">Issue</x:t>
  </x:si>
  <x:si>
    <x:t xml:space="preserve">Teaching-case treatment</x:t>
  </x:si>
  <x:si>
    <x:t xml:space="preserve">Evidence required</x:t>
  </x:si>
  <x:si>
    <x:t xml:space="preserve">Investor consequence</x:t>
  </x:si>
  <x:si>
    <x:t xml:space="preserve">Owned assets</x:t>
  </x:si>
  <x:si>
    <x:t xml:space="preserve">Land + commissioned facility; no tenant computers</x:t>
  </x:si>
  <x:si>
    <x:t xml:space="preserve">Title; asset/scope schedule; demarcation</x:t>
  </x:si>
  <x:si>
    <x:t xml:space="preserve">Avoid paying for equipment excluded from property collateral</x:t>
  </x:si>
  <x:si>
    <x:t xml:space="preserve">Capacity</x:t>
  </x:si>
  <x:si>
    <x:t xml:space="preserve">10 MW IT, not 10 MW utility request</x:t>
  </x:si>
  <x:si>
    <x:t xml:space="preserve">Engineer's basis of design and utility terms</x:t>
  </x:si>
  <x:si>
    <x:t xml:space="preserve">Rent unit must match deliverable capacity</x:t>
  </x:si>
  <x:si>
    <x:t xml:space="preserve">Rent scope</x:t>
  </x:si>
  <x:si>
    <x:t xml:space="preserve">$225/kW/mo includes non-power expenses</x:t>
  </x:si>
  <x:si>
    <x:t xml:space="preserve">Comparable scope; executed rental schedule</x:t>
  </x:si>
  <x:si>
    <x:t xml:space="preserve">Do not add a second operating-cost recovery</x:t>
  </x:si>
  <x:si>
    <x:t xml:space="preserve">Billability</x:t>
  </x:si>
  <x:si>
    <x:t xml:space="preserve">100% at acceptance; no staged rent/free rent</x:t>
  </x:si>
  <x:si>
    <x:t xml:space="preserve">Delivery specification and acceptance protocol</x:t>
  </x:si>
  <x:si>
    <x:t xml:space="preserve">Late power can delay rent without reducing debt cost</x:t>
  </x:si>
  <x:si>
    <x:t xml:space="preserve">Recovered at cost; no markup</x:t>
  </x:si>
  <x:si>
    <x:t xml:space="preserve">Meters, tariff, billing and deposit provisions</x:t>
  </x:si>
  <x:si>
    <x:t xml:space="preserve">Recovery timing and nonpayment can create liquidity exposure</x:t>
  </x:si>
  <x:si>
    <x:t xml:space="preserve">Escalation</x:t>
  </x:si>
  <x:si>
    <x:t xml:space="preserve">Rent +2.5%; non-power costs +3%</x:t>
  </x:si>
  <x:si>
    <x:t xml:space="preserve">Contract and operating budgets</x:t>
  </x:si>
  <x:si>
    <x:t xml:space="preserve">Different escalators change margin</x:t>
  </x:si>
  <x:si>
    <x:t xml:space="preserve">Term</x:t>
  </x:si>
  <x:si>
    <x:t xml:space="preserve">15-year lease; ten-year operating hold</x:t>
  </x:si>
  <x:si>
    <x:t xml:space="preserve">Commencement/expiry and options</x:t>
  </x:si>
  <x:si>
    <x:t xml:space="preserve">Only five assumed years remain at exit</x:t>
  </x:si>
  <x:si>
    <x:t xml:space="preserve">Service obligations</x:t>
  </x:si>
  <x:si>
    <x:t xml:space="preserve">No modeled service credits</x:t>
  </x:si>
  <x:si>
    <x:t xml:space="preserve">Service levels, remedies, exclusions and limits</x:t>
  </x:si>
  <x:si>
    <x:t xml:space="preserve">Availability failures can reduce receipts</x:t>
  </x:si>
  <x:si>
    <x:t xml:space="preserve">Counterparty</x:t>
  </x:si>
  <x:si>
    <x:t xml:space="preserve">Illustrative Neocloud Tenant only</x:t>
  </x:si>
  <x:si>
    <x:t xml:space="preserve">Exact legal tenant; parent support; financials</x:t>
  </x:si>
  <x:si>
    <x:t xml:space="preserve">Corporate brand is not enforceable recourse</x:t>
  </x:si>
  <x:si>
    <x:t xml:space="preserve">Renewal/exit</x:t>
  </x:si>
  <x:si>
    <x:t xml:space="preserve">Continuous performance assumed</x:t>
  </x:si>
  <x:si>
    <x:t xml:space="preserve">Re-leasing, retrofit and restoration terms</x:t>
  </x:si>
  <x:si>
    <x:t xml:space="preserve">Reserve may not fund a new technology generation</x:t>
  </x:si>
  <x:si>
    <x:t xml:space="preserve">MODEL CROSSWALK | Capacity/rent/term: Inputs D7, D19:D21, D27. Power: Power D18 and Landlord D10/D13. Landlord property ownership excludes Integrated D10:D13. Full sources: A01–A03, P01 and P03.</x:t>
  </x:si>
  <x:si>
    <x:t xml:space="preserve">NO MAJOR CAPITAL COMMITMENT WITHOUT EVIDENCE</x:t>
  </x:si>
  <x:si>
    <x:t xml:space="preserve">Gate</x:t>
  </x:si>
  <x:si>
    <x:t xml:space="preserve">Current model status</x:t>
  </x:si>
  <x:si>
    <x:t xml:space="preserve">Decision</x:t>
  </x:si>
  <x:si>
    <x:t xml:space="preserve">Responsible review</x:t>
  </x:si>
  <x:si>
    <x:t xml:space="preserve">Power and permits</x:t>
  </x:si>
  <x:si>
    <x:t xml:space="preserve">Hypothetical; not obtained</x:t>
  </x:si>
  <x:si>
    <x:t xml:space="preserve">PAUSE binding capital</x:t>
  </x:si>
  <x:si>
    <x:t xml:space="preserve">Utility, permitting team, engineer</x:t>
  </x:si>
  <x:si>
    <x:t xml:space="preserve">Budget and delivery</x:t>
  </x:si>
  <x:si>
    <x:t xml:space="preserve">Allowances and fixed teaching timeline</x:t>
  </x:si>
  <x:si>
    <x:t xml:space="preserve">Obtain bids / independent schedule</x:t>
  </x:si>
  <x:si>
    <x:t xml:space="preserve">Developer and mission-critical contractor</x:t>
  </x:si>
  <x:si>
    <x:t xml:space="preserve">Lease and credit</x:t>
  </x:si>
  <x:si>
    <x:t xml:space="preserve">Hypothetical tenant; no guarantee</x:t>
  </x:si>
  <x:si>
    <x:t xml:space="preserve">Negotiate and underwrite actual documents</x:t>
  </x:si>
  <x:si>
    <x:t xml:space="preserve">Commercial team, counsel, credit reviewer</x:t>
  </x:si>
  <x:si>
    <x:t xml:space="preserve">Financing and exit</x:t>
  </x:si>
  <x:si>
    <x:t xml:space="preserve">Illustrative terms and terminal cap</x:t>
  </x:si>
  <x:si>
    <x:t xml:space="preserve">Stress maturity, cash gap and residual value</x:t>
  </x:si>
  <x:si>
    <x:t xml:space="preserve">Lender, investment committee, appraiser</x:t>
  </x:si>
  <x:si>
    <x:t xml:space="preserve">GII decision framework: Proceed to focused diligence, not unconditional investment approval. An arithmetically correct model does not establish power deliverability, contractual protection or construction feasibility.</x:t>
  </x:si>
  <x:si>
    <x:t xml:space="preserve">EXHIBIT 14  |  WHAT MAKES THE LEASE FINANCEABLE?</x:t>
  </x:si>
  <x:si>
    <x:t xml:space="preserve">Which contract terms convert MW into collectible rent?</x:t>
  </x:si>
  <x:si>
    <x:t xml:space="preserve">THE GII CONTROL-POINT LENS  |  Convert a technically accepted facility into a binding, bankable rent stream with clearly assigned operating obligations.</x:t>
  </x:si>
  <x:si>
    <x:t xml:space="preserve">YOUR FACILITY LEASE | KEY INSTITUTIONAL QUESTIONS</x:t>
  </x:si>
  <x:si>
    <x:t xml:space="preserve">Land and permanent facility scope</x:t>
  </x:si>
  <x:si>
    <x:t xml:space="preserve">Obtain title, demarcation and equipment schedule.</x:t>
  </x:si>
  <x:si>
    <x:t xml:space="preserve">10 MW IT delivery</x:t>
  </x:si>
  <x:si>
    <x:t xml:space="preserve">Engineer scope and executable utility commitments.</x:t>
  </x:si>
  <x:si>
    <x:t xml:space="preserve">Gross capacity rent</x:t>
  </x:si>
  <x:si>
    <x:t xml:space="preserve">Confirm OPEX included; power separately billed.</x:t>
  </x:si>
  <x:si>
    <x:t xml:space="preserve">Contractual billability</x:t>
  </x:si>
  <x:si>
    <x:t xml:space="preserve">Acceptance, milestones, free rent and phase-in.</x:t>
  </x:si>
  <x:si>
    <x:t xml:space="preserve">Tariff, metering, deposits and payment timing.</x:t>
  </x:si>
  <x:si>
    <x:t xml:space="preserve">Rent and cost escalators</x:t>
  </x:si>
  <x:si>
    <x:t xml:space="preserve">Underwrite actual signed clauses.</x:t>
  </x:si>
  <x:si>
    <x:t xml:space="preserve">15-year term assumption</x:t>
  </x:si>
  <x:si>
    <x:t xml:space="preserve">Five years of term assumed at sale.</x:t>
  </x:si>
  <x:si>
    <x:t xml:space="preserve">Service levels and remedies</x:t>
  </x:si>
  <x:si>
    <x:t xml:space="preserve">Nonperformance can cause abatement.</x:t>
  </x:si>
  <x:si>
    <x:t xml:space="preserve">Legal tenant and support</x:t>
  </x:si>
  <x:si>
    <x:t xml:space="preserve">Guarantee must be executed and enforceable.</x:t>
  </x:si>
  <x:si>
    <x:t xml:space="preserve">Re-leasing / retrofit</x:t>
  </x:si>
  <x:si>
    <x:t xml:space="preserve">Collateral and tenant equipment rights matter.</x:t>
  </x:si>
  <x:si>
    <x:t xml:space="preserve">DECISION GATES</x:t>
  </x:si>
  <x:si>
    <x:t xml:space="preserve">PAUSE major binding capital; verify conditions.</x:t>
  </x:si>
  <x:si>
    <x:t xml:space="preserve">Budget and construction</x:t>
  </x:si>
  <x:si>
    <x:t xml:space="preserve">Obtain matched bids and milestone schedule.</x:t>
  </x:si>
  <x:si>
    <x:t xml:space="preserve">Review exact entity, payment security and remedies.</x:t>
  </x:si>
  <x:si>
    <x:t xml:space="preserve">Refinancing and exit</x:t>
  </x:si>
  <x:si>
    <x:t xml:space="preserve">Test loan maturity and residual occupancy.</x:t>
  </x:si>
  <x:si>
    <x:t xml:space="preserve">DOWNSIDE | How much additional cash is needed?</x:t>
  </x:si>
  <x:si>
    <x:t xml:space="preserve">Chapter 13 • Independent teaching scenarios. They do not alter the base-case IRR or combine automatically. Cash carry, deferred revenue, reimbursement exposure and refinance gaps are separate items.</x:t>
  </x:si>
  <x:si>
    <x:t xml:space="preserve">CONTROL POINT | Downside underwriting asks who must provide the next dollar when power is late, rent stops, or refinancing shrinks. The hidden control point is liquidity.</x:t>
  </x:si>
  <x:si>
    <x:t xml:space="preserve">Scenario control / unit</x:t>
  </x:si>
  <x:si>
    <x:t xml:space="preserve">Source / reference</x:t>
  </x:si>
  <x:si>
    <x:t xml:space="preserve">Extra annual fixed construction carry ($)</x:t>
  </x:si>
  <x:si>
    <x:t xml:space="preserve">Inputs D50 / build years</x:t>
  </x:si>
  <x:si>
    <x:t xml:space="preserve">Extends original tax/insurance carry; not full operating costs</x:t>
  </x:si>
  <x:si>
    <x:t xml:space="preserve">Post-completion rent interruption (months)</x:t>
  </x:si>
  <x:si>
    <x:t xml:space="preserve">GII new assumption</x:t>
  </x:si>
  <x:si>
    <x:t xml:space="preserve">No rent collected during the selected period</x:t>
  </x:si>
  <x:si>
    <x:t xml:space="preserve">Power-recovery shortfall (months)</x:t>
  </x:si>
  <x:si>
    <x:t xml:space="preserve">Electricity already paid but not recovered; not unlimited future usage</x:t>
  </x:si>
  <x:si>
    <x:t xml:space="preserve">One-time re-leasing / retrofit cash ($)</x:t>
  </x:si>
  <x:si>
    <x:t xml:space="preserve">Scenario placeholder, not an engineering quote</x:t>
  </x:si>
  <x:si>
    <x:t xml:space="preserve">Refinance LTV limit</x:t>
  </x:si>
  <x:si>
    <x:t xml:space="preserve">Value-based borrowing limit</x:t>
  </x:si>
  <x:si>
    <x:t xml:space="preserve">Refinance interest-only rate</x:t>
  </x:si>
  <x:si>
    <x:t xml:space="preserve">Not lender terms</x:t>
  </x:si>
  <x:si>
    <x:t xml:space="preserve">Refinance minimum after-reserve coverage</x:t>
  </x:si>
  <x:si>
    <x:t xml:space="preserve">NCF divided by annual interest</x:t>
  </x:si>
  <x:si>
    <x:t xml:space="preserve">Refinance fee / new borrowing</x:t>
  </x:si>
  <x:si>
    <x:t xml:space="preserve">Equity funds fee; no cash-out distribution assumed</x:t>
  </x:si>
  <x:si>
    <x:t xml:space="preserve">A | POWER / ACCEPTANCE DELAY AFTER THE ORIGINAL BUILD</x:t>
  </x:si>
  <x:si>
    <x:t xml:space="preserve">Extra interest ($mm)</x:t>
  </x:si>
  <x:si>
    <x:t xml:space="preserve">Extra fixed carry ($mm)</x:t>
  </x:si>
  <x:si>
    <x:t xml:space="preserve">Total added equity ($mm)</x:t>
  </x:si>
  <x:si>
    <x:t xml:space="preserve">A | Debt is already fully drawn. Equity funds simple additional interest and normalized tax/insurance carry. No interest-on-interest, extension fee, liquidated damages or maturity default is included. Deferred rent is not added again as a cash invoice.</x:t>
  </x:si>
  <x:si>
    <x:t xml:space="preserve">B | COMPLETED-FACILITY CASH NEED DURING A TENANT INTERRUPTION</x:t>
  </x:si>
  <x:si>
    <x:t xml:space="preserve">Cash demand component</x:t>
  </x:si>
  <x:si>
    <x:t xml:space="preserve">Amount ($mm)</x:t>
  </x:si>
  <x:si>
    <x:t xml:space="preserve">Fixed property operations during interruption</x:t>
  </x:si>
  <x:si>
    <x:t xml:space="preserve">Landlord D14:D19; D8 months</x:t>
  </x:si>
  <x:si>
    <x:t xml:space="preserve">Assume these expenses continue; no rent collected</x:t>
  </x:si>
  <x:si>
    <x:t xml:space="preserve">Reserve and debt service during interruption</x:t>
  </x:si>
  <x:si>
    <x:t xml:space="preserve">Landlord D22/D24; D8 months</x:t>
  </x:si>
  <x:si>
    <x:t xml:space="preserve">Reserve maintained; interest-only debt serviced</x:t>
  </x:si>
  <x:si>
    <x:t xml:space="preserve">Unrecovered electricity already funded</x:t>
  </x:si>
  <x:si>
    <x:t xml:space="preserve">Power D18; D9 months</x:t>
  </x:si>
  <x:si>
    <x:t xml:space="preserve">A reimbursement loss, not a second capacity-rent loss</x:t>
  </x:si>
  <x:si>
    <x:t xml:space="preserve">One-time re-leasing / retrofit cash</x:t>
  </x:si>
  <x:si>
    <x:t xml:space="preserve">D10 scenario</x:t>
  </x:si>
  <x:si>
    <x:t xml:space="preserve">Extraordinary cash beyond annual reserve</x:t>
  </x:si>
  <x:si>
    <x:t xml:space="preserve">Total additional cash requirement</x:t>
  </x:si>
  <x:si>
    <x:t xml:space="preserve">Sum components</x:t>
  </x:si>
  <x:si>
    <x:t xml:space="preserve">No rent, guarantees or deposits recovered in this scenario</x:t>
  </x:si>
  <x:si>
    <x:t xml:space="preserve">Rent not received (comparison only)</x:t>
  </x:si>
  <x:si>
    <x:t xml:space="preserve">Landlord D9; D8 months</x:t>
  </x:si>
  <x:si>
    <x:t xml:space="preserve">Not added to the cash-need total</x:t>
  </x:si>
  <x:si>
    <x:t xml:space="preserve">B | Simplified year-one stress, not a legal default forecast. No recovery from deposits, guarantees, insurance or customer receivables is assumed. Those require documents; they must not be treated as automatically available.</x:t>
  </x:si>
  <x:si>
    <x:t xml:space="preserve">REFINANCE INPUTS | Scenario assumes a maturity at the end of operating Year 5, unlike the base ten-year takeout. Use next-year NOI for collateral value and next-year after-reserve cash for interest coverage. Fee funded by equity.</x:t>
  </x:si>
  <x:si>
    <x:t xml:space="preserve">C | REFINANCE SCREEN AT END OF YEAR 5 — SEPARATE FROM BASE CASE</x:t>
  </x:si>
  <x:si>
    <x:t xml:space="preserve">Exit / appraisal cap</x:t>
  </x:si>
  <x:si>
    <x:t xml:space="preserve">New debt capacity ($mm)</x:t>
  </x:si>
  <x:si>
    <x:t xml:space="preserve">Principal shortfall ($mm)</x:t>
  </x:si>
  <x:si>
    <x:t xml:space="preserve">Shortfall + fee ($mm)</x:t>
  </x:si>
  <x:si>
    <x:t xml:space="preserve">C | New-debt capacity = lesser of value × LTV and next-year after-reserve cash / (coverage × interest rate). Fees apply to borrowing actually used to repay existing principal; no cash-out refinance is assumed.</x:t>
  </x:si>
  <x:si>
    <x:t xml:space="preserve">DECISION | Obtain a cash-coverage commitment before debt maturity or rent interruption. These screens omit taxes, amortization, lender discretion, legal costs and negotiated recoveries. No stressed IRR is implied.</x:t>
  </x:si>
  <x:si>
    <x:t xml:space="preserve">EXHIBIT 15  |  WHO FUNDS THE DOWNSIDE?</x:t>
  </x:si>
  <x:si>
    <x:t xml:space="preserve">What additional cash is required when project timing or payments fail?</x:t>
  </x:si>
  <x:si>
    <x:t xml:space="preserve">THE GII CONTROL-POINT LENS  |  The decisive question is who must contribute the next dollar when power, rent collection or refinancing slips.</x:t>
  </x:si>
  <x:si>
    <x:t xml:space="preserve">POWER DELIVERY DELAY | REQUIRED EXTRA CASH</x:t>
  </x:si>
  <x:si>
    <x:t xml:space="preserve">6-month delay</x:t>
  </x:si>
  <x:si>
    <x:t xml:space="preserve">Interest plus fixed construction carry.</x:t>
  </x:si>
  <x:si>
    <x:t xml:space="preserve">12-month delay</x:t>
  </x:si>
  <x:si>
    <x:t xml:space="preserve">Equity-funding scenario; not new capex budget.</x:t>
  </x:si>
  <x:si>
    <x:t xml:space="preserve">24-month delay</x:t>
  </x:si>
  <x:si>
    <x:t xml:space="preserve">Actual extension fees could be additional.</x:t>
  </x:si>
  <x:si>
    <x:t xml:space="preserve">TENANT INTERRUPTION | CASH REQUIREMENT</x:t>
  </x:si>
  <x:si>
    <x:t xml:space="preserve">Rent-interruption assumption</x:t>
  </x:si>
  <x:si>
    <x:t xml:space="preserve">Months without collection.</x:t>
  </x:si>
  <x:si>
    <x:t xml:space="preserve">Electricity recovery delay</x:t>
  </x:si>
  <x:si>
    <x:t xml:space="preserve">Utility bills funded but unrecovered.</x:t>
  </x:si>
  <x:si>
    <x:t xml:space="preserve">Re-leasing/retrofit allowance</x:t>
  </x:si>
  <x:si>
    <x:t xml:space="preserve">Not an engineer's quotation.</x:t>
  </x:si>
  <x:si>
    <x:t xml:space="preserve">Fixed property cost during gap</x:t>
  </x:si>
  <x:si>
    <x:t xml:space="preserve">Cannot turn all expenses off.</x:t>
  </x:si>
  <x:si>
    <x:t xml:space="preserve">Debt service + reserve during gap</x:t>
  </x:si>
  <x:si>
    <x:t xml:space="preserve">Contractual debt clock keeps running.</x:t>
  </x:si>
  <x:si>
    <x:t xml:space="preserve">Unrecovered power cash</x:t>
  </x:si>
  <x:si>
    <x:t xml:space="preserve">Cash timing/collection exposure.</x:t>
  </x:si>
  <x:si>
    <x:t xml:space="preserve">Re-leasing/retrofit costs</x:t>
  </x:si>
  <x:si>
    <x:t xml:space="preserve">Illustrative one-time bill.</x:t>
  </x:si>
  <x:si>
    <x:t xml:space="preserve">TOTAL ADDITIONAL CASH NEEDED</x:t>
  </x:si>
  <x:si>
    <x:t xml:space="preserve">Separate from forfeited rent comparison.</x:t>
  </x:si>
  <x:si>
    <x:t xml:space="preserve">REFINANCE SCREEN | END OF YEAR FIVE</x:t>
  </x:si>
  <x:si>
    <x:t xml:space="preserve">7% appraisal cap | new debt capacity</x:t>
  </x:si>
  <x:si>
    <x:t xml:space="preserve">Subject to both LTV and coverage.</x:t>
  </x:si>
  <x:si>
    <x:t xml:space="preserve">9% appraisal cap | new debt capacity</x:t>
  </x:si>
  <x:si>
    <x:t xml:space="preserve">Borrowing capacity can be constrained.</x:t>
  </x:si>
  <x:si>
    <x:t xml:space="preserve">11% appraisal cap | principal gap</x:t>
  </x:si>
  <x:si>
    <x:t xml:space="preserve">Additional equity funding at maturity.</x:t>
  </x:si>
  <x:si>
    <x:t xml:space="preserve">11% appraisal cap | incl. fees</x:t>
  </x:si>
  <x:si>
    <x:t xml:space="preserve">Debt payoff shortfall plus origination cash.</x:t>
  </x:si>
  <x:si>
    <x:t xml:space="preserve">TRACE | From report exhibit to live workbook cell</x:t>
  </x:si>
  <x:si>
    <x:t xml:space="preserve">CONTROL POINT | Traceability is itself an underwriting control. Every headline metric should point back to a live cell, formula, assumption and source.</x:t>
  </x:si>
  <x:si>
    <x:t xml:space="preserve">Report metric</x:t>
  </x:si>
  <x:si>
    <x:t xml:space="preserve">Live value</x:t>
  </x:si>
  <x:si>
    <x:t xml:space="preserve">Cell / unit</x:t>
  </x:si>
  <x:si>
    <x:t xml:space="preserve">Logic / provenance</x:t>
  </x:si>
  <x:si>
    <x:t xml:space="preserve">Chapter</x:t>
  </x:si>
  <x:si>
    <x:t xml:space="preserve">T01</x:t>
  </x:si>
  <x:si>
    <x:t xml:space="preserve">Model A01</x:t>
  </x:si>
  <x:si>
    <x:t xml:space="preserve">3</x:t>
  </x:si>
  <x:si>
    <x:t xml:space="preserve">T02</x:t>
  </x:si>
  <x:si>
    <x:t xml:space="preserve">Inputs + budget formulas</x:t>
  </x:si>
  <x:si>
    <x:t xml:space="preserve">6</x:t>
  </x:si>
  <x:si>
    <x:t xml:space="preserve">T03</x:t>
  </x:si>
  <x:si>
    <x:t xml:space="preserve">D25 + financing D30</x:t>
  </x:si>
  <x:si>
    <x:t xml:space="preserve">6,9</x:t>
  </x:si>
  <x:si>
    <x:t xml:space="preserve">T04</x:t>
  </x:si>
  <x:si>
    <x:t xml:space="preserve">D25 × Inputs D31</x:t>
  </x:si>
  <x:si>
    <x:t xml:space="preserve">9</x:t>
  </x:si>
  <x:si>
    <x:t xml:space="preserve">T05</x:t>
  </x:si>
  <x:si>
    <x:t xml:space="preserve">Uses less loan principal</x:t>
  </x:si>
  <x:si>
    <x:t xml:space="preserve">T06</x:t>
  </x:si>
  <x:si>
    <x:t xml:space="preserve">SUM monthly interest G7:G31</x:t>
  </x:si>
  <x:si>
    <x:t xml:space="preserve">T07</x:t>
  </x:si>
  <x:si>
    <x:t xml:space="preserve">Reserved MW × 1,000 × monthly rate × 12</x:t>
  </x:si>
  <x:si>
    <x:t xml:space="preserve">7</x:t>
  </x:si>
  <x:si>
    <x:t xml:space="preserve">T08</x:t>
  </x:si>
  <x:si>
    <x:t xml:space="preserve">Five-step calculation, Power D7:D15</x:t>
  </x:si>
  <x:si>
    <x:t xml:space="preserve">8</x:t>
  </x:si>
  <x:si>
    <x:t xml:space="preserve">T09</x:t>
  </x:si>
  <x:si>
    <x:t xml:space="preserve">Receipts + operating expenses</x:t>
  </x:si>
  <x:si>
    <x:t xml:space="preserve">8,9</x:t>
  </x:si>
  <x:si>
    <x:t xml:space="preserve">T10</x:t>
  </x:si>
  <x:si>
    <x:t xml:space="preserve">NOI less facility reserve</x:t>
  </x:si>
  <x:si>
    <x:t xml:space="preserve">T11</x:t>
  </x:si>
  <x:si>
    <x:t xml:space="preserve">After-reserve cash less interest</x:t>
  </x:si>
  <x:si>
    <x:t xml:space="preserve">T12</x:t>
  </x:si>
  <x:si>
    <x:t xml:space="preserve">NOI / Development D31</x:t>
  </x:si>
  <x:si>
    <x:t xml:space="preserve">T13</x:t>
  </x:si>
  <x:si>
    <x:t xml:space="preserve">Landlord D23 / -D24</x:t>
  </x:si>
  <x:si>
    <x:t xml:space="preserve">T14</x:t>
  </x:si>
  <x:si>
    <x:t xml:space="preserve">Monthly IRR; excludes financing flows</x:t>
  </x:si>
  <x:si>
    <x:t xml:space="preserve">T15</x:t>
  </x:si>
  <x:si>
    <x:t xml:space="preserve">Monthly equity IRR annualized</x:t>
  </x:si>
  <x:si>
    <x:t xml:space="preserve">T16</x:t>
  </x:si>
  <x:si>
    <x:t xml:space="preserve">Positive / absolute negative equity cash</x:t>
  </x:si>
  <x:si>
    <x:t xml:space="preserve">T17</x:t>
  </x:si>
  <x:si>
    <x:t xml:space="preserve">Forward NOI, not a held operating year</x:t>
  </x:si>
  <x:si>
    <x:t xml:space="preserve">T18</x:t>
  </x:si>
  <x:si>
    <x:t xml:space="preserve">Year 11 NOI / exit cap</x:t>
  </x:si>
  <x:si>
    <x:t xml:space="preserve">T19</x:t>
  </x:si>
  <x:si>
    <x:t xml:space="preserve">Value less sale costs and principal</x:t>
  </x:si>
  <x:si>
    <x:t xml:space="preserve">T20</x:t>
  </x:si>
  <x:si>
    <x:t xml:space="preserve">IT energy × annual PUE</x:t>
  </x:si>
  <x:si>
    <x:t xml:space="preserve">T21</x:t>
  </x:si>
  <x:si>
    <x:t xml:space="preserve">Facility kWh × Inputs D73</x:t>
  </x:si>
  <x:si>
    <x:t xml:space="preserve">T22</x:t>
  </x:si>
  <x:si>
    <x:t xml:space="preserve">Property + IT equipment + working capital</x:t>
  </x:si>
  <x:si>
    <x:t xml:space="preserve">T23</x:t>
  </x:si>
  <x:si>
    <x:t xml:space="preserve">Compute revenue less listed cash expenses</x:t>
  </x:si>
  <x:si>
    <x:t xml:space="preserve">T24</x:t>
  </x:si>
  <x:si>
    <x:t xml:space="preserve">Internal rent eliminated</x:t>
  </x:si>
  <x:si>
    <x:t xml:space="preserve">T25</x:t>
  </x:si>
  <x:si>
    <x:t xml:space="preserve">Interest + normalized fixed carry</x:t>
  </x:si>
  <x:si>
    <x:t xml:space="preserve">T26</x:t>
  </x:si>
  <x:si>
    <x:t xml:space="preserve">Operations + reserve/debt + power + retrofit</x:t>
  </x:si>
  <x:si>
    <x:t xml:space="preserve">T27</x:t>
  </x:si>
  <x:si>
    <x:t xml:space="preserve">Issuer assets / equity at June 30</x:t>
  </x:si>
  <x:si>
    <x:t xml:space="preserve">T28</x:t>
  </x:si>
  <x:si>
    <x:t xml:space="preserve">T29</x:t>
  </x:si>
  <x:si>
    <x:t xml:space="preserve">Equity plus credit facility, not cash balance</x:t>
  </x:si>
  <x:si>
    <x:t xml:space="preserve">INTERPRETATION | 'Source' is not the same as 'assurance'. Formula links make arithmetic traceable; they do not verify a hypothetical site, bid, lease, tariff or counterparty obligation.</x:t>
  </x:si>
  <x:si>
    <x:t xml:space="preserve">EXHIBIT 16  |  SOURCE-TO-MODEL TRACEABILITY</x:t>
  </x:si>
  <x:si>
    <x:t xml:space="preserve">Can another analyst replicate every important figure?</x:t>
  </x:si>
  <x:si>
    <x:t xml:space="preserve">THE GII CONTROL-POINT LENS  |  Trace reported facts and teaching assumptions to the exact live model cell. Do not mix corporate disclosures and modeled leases.</x:t>
  </x:si>
  <x:si>
    <x:t xml:space="preserve">REPORT TO LIVE WORKBOOK | SELECT EXHIBIT LINKS</x:t>
  </x:si>
  <x:si>
    <x:t xml:space="preserve">Pre-financing uses</x:t>
  </x:si>
  <x:si>
    <x:t xml:space="preserve">TOTAL development cost</x:t>
  </x:si>
  <x:si>
    <x:t xml:space="preserve">Loan principal</x:t>
  </x:si>
  <x:si>
    <x:t xml:space="preserve">Initial equity</x:t>
  </x:si>
  <x:si>
    <x:t xml:space="preserve">Year-one capacity rent</x:t>
  </x:si>
  <x:si>
    <x:t xml:space="preserve">Annual electricity</x:t>
  </x:si>
  <x:si>
    <x:t xml:space="preserve">Property NOI</x:t>
  </x:si>
  <x:si>
    <x:t xml:space="preserve">Cash to equity</x:t>
  </x:si>
  <x:si>
    <x:t xml:space="preserve">Levered IRR</x:t>
  </x:si>
  <x:si>
    <x:t xml:space="preserve">Equity multiple</x:t>
  </x:si>
  <x:si>
    <x:t xml:space="preserve">Terminal property value</x:t>
  </x:si>
  <x:si>
    <x:t xml:space="preserve">Annual energy</x:t>
  </x:si>
  <x:si>
    <x:t xml:space="preserve">Integrated all-in capital</x:t>
  </x:si>
  <x:si>
    <x:t xml:space="preserve">12-month delivery delay</x:t>
  </x:si>
  <x:si>
    <x:t xml:space="preserve">GMI announced financing</x:t>
  </x:si>
  <x:si>
    <x:t xml:space="preserve">CHECKS | Arithmetic and boundary controls</x:t>
  </x:si>
  <x:si>
    <x:t xml:space="preserve">Read after changing inputs • PASS confirms the stated arithmetic/structure only. It does not validate commercial feasibility, tenant solvency, engineering, appraisal or legal enforceability.</x:t>
  </x:si>
  <x:si>
    <x:t xml:space="preserve">CONTROL POINT | Arithmetic controls catch model errors; they do not validate engineering, tenant solvency, legal enforceability or market demand.</x:t>
  </x:si>
  <x:si>
    <x:t xml:space="preserve">Difference / condition</x:t>
  </x:si>
  <x:si>
    <x:t xml:space="preserve">Status</x:t>
  </x:si>
  <x:si>
    <x:t xml:space="preserve">What the test establishes</x:t>
  </x:si>
  <x:si>
    <x:t xml:space="preserve">Sources equal development uses</x:t>
  </x:si>
  <x:si>
    <x:t xml:space="preserve">Uses funded by modeled principal and equity</x:t>
  </x:si>
  <x:si>
    <x:t xml:space="preserve">Construction equity = development equity</x:t>
  </x:si>
  <x:si>
    <x:t xml:space="preserve">Construction and summary schedules reconcile</x:t>
  </x:si>
  <x:si>
    <x:t xml:space="preserve">Construction debt = loan commitment</x:t>
  </x:si>
  <x:si>
    <x:t xml:space="preserve">Closing debt equals funded principal</x:t>
  </x:si>
  <x:si>
    <x:t xml:space="preserve">Monthly CF equity = development equity</x:t>
  </x:si>
  <x:si>
    <x:t xml:space="preserve">Return schedule uses the same equity funding</x:t>
  </x:si>
  <x:si>
    <x:t xml:space="preserve">Power revenue = power expense</x:t>
  </x:si>
  <x:si>
    <x:t xml:space="preserve">Base pass-through does not inflate NOI</x:t>
  </x:si>
  <x:si>
    <x:t xml:space="preserve">Integrated rent elimination</x:t>
  </x:si>
  <x:si>
    <x:t xml:space="preserve">Consolidated EBITDA removes internal rent</x:t>
  </x:si>
  <x:si>
    <x:t xml:space="preserve">24-month construction structure</x:t>
  </x:si>
  <x:si>
    <x:t xml:space="preserve">Fixed monthly schedule remains aligned</x:t>
  </x:si>
  <x:si>
    <x:t xml:space="preserve">Ten-year operating hold structure</x:t>
  </x:si>
  <x:si>
    <x:t xml:space="preserve">Fixed return horizon remains aligned</x:t>
  </x:si>
  <x:si>
    <x:t xml:space="preserve">Lease covers hold</x:t>
  </x:si>
  <x:si>
    <x:t xml:space="preserve">Assumed lease extends through modeled sale</x:t>
  </x:si>
  <x:si>
    <x:t xml:space="preserve">Billability within 0–100%</x:t>
  </x:si>
  <x:si>
    <x:t xml:space="preserve">Valid reserved-capacity fraction</x:t>
  </x:si>
  <x:si>
    <x:t xml:space="preserve">Electrical load within 0–100%</x:t>
  </x:si>
  <x:si>
    <x:t xml:space="preserve">Valid average loading fraction</x:t>
  </x:si>
  <x:si>
    <x:t xml:space="preserve">PUE at least 1</x:t>
  </x:si>
  <x:si>
    <x:t xml:space="preserve">Total facility energy not less than IT energy</x:t>
  </x:si>
  <x:si>
    <x:t xml:space="preserve">Required positive economic inputs</x:t>
  </x:si>
  <x:si>
    <x:t xml:space="preserve">Avoid principal denominator failures</x:t>
  </x:si>
  <x:si>
    <x:t xml:space="preserve">GMI components sum to total</x:t>
  </x:si>
  <x:si>
    <x:t xml:space="preserve">Announced capital arithmetic only</x:t>
  </x:si>
  <x:si>
    <x:t xml:space="preserve">MODEL EDIT BOUNDARIES | Arithmetic checks do not cover every possible input. Blue controls on Downside are independent screens. Change structural horizons only after rebuilding the schedules.</x:t>
  </x:si>
  <x:si>
    <x:t xml:space="preserve">EXHIBIT 17  |  WORKBOOK MODEL CONTROLS</x:t>
  </x:si>
  <x:si>
    <x:t xml:space="preserve">Which model boundaries and arithmetic linkages are checked?</x:t>
  </x:si>
  <x:si>
    <x:t xml:space="preserve">THE GII CONTROL-POINT LENS  |  Arithmetic checks establish model coherence, not engineering feasibility, legal enforceability or transaction credit.</x:t>
  </x:si>
  <x:si>
    <x:t xml:space="preserve">AUTOMATED ARITHMETIC CHECKS | MODEL COHERENCE</x:t>
  </x:si>
  <x:si>
    <x:t xml:space="preserve">PASS if modeled cash sources reconcile.</x:t>
  </x:si>
  <x:si>
    <x:t xml:space="preserve">Construction equity reconciliation</x:t>
  </x:si>
  <x:si>
    <x:t xml:space="preserve">PASS if funding schedules reconcile.</x:t>
  </x:si>
  <x:si>
    <x:t xml:space="preserve">Construction debt reconciliation</x:t>
  </x:si>
  <x:si>
    <x:t xml:space="preserve">PASS if loan draws match commitment.</x:t>
  </x:si>
  <x:si>
    <x:t xml:space="preserve">Monthly equity schedule reconciliation</x:t>
  </x:si>
  <x:si>
    <x:t xml:space="preserve">PASS if equity outflows match initial equity.</x:t>
  </x:si>
  <x:si>
    <x:t xml:space="preserve">Electricity pass-through balance</x:t>
  </x:si>
  <x:si>
    <x:t xml:space="preserve">PASS if reimbursements equal modeled expense.</x:t>
  </x:si>
  <x:si>
    <x:t xml:space="preserve">Integrated internal rent elimination</x:t>
  </x:si>
  <x:si>
    <x:t xml:space="preserve">PASS if intercompany rent cancels.</x:t>
  </x:si>
  <x:si>
    <x:t xml:space="preserve">PASS only for the fixed horizon.</x:t>
  </x:si>
  <x:si>
    <x:t xml:space="preserve">10-year operating hold structure</x:t>
  </x:si>
  <x:si>
    <x:t xml:space="preserve">Lease covers planned hold</x:t>
  </x:si>
  <x:si>
    <x:t xml:space="preserve">Legal renewal rights still unexamined.</x:t>
  </x:si>
  <x:si>
    <x:t xml:space="preserve">Reserved billability in range</x:t>
  </x:si>
  <x:si>
    <x:t xml:space="preserve">Only arithmetic, not executed lease.</x:t>
  </x:si>
  <x:si>
    <x:t xml:space="preserve">IT electrical loading in range</x:t>
  </x:si>
  <x:si>
    <x:t xml:space="preserve">Only arithmetic, not operating data.</x:t>
  </x:si>
  <x:si>
    <x:t xml:space="preserve">PUE at least one</x:t>
  </x:si>
  <x:si>
    <x:t xml:space="preserve">Engineering performance not independently tested.</x:t>
  </x:si>
  <x:si>
    <x:t xml:space="preserve">Required positive modeling inputs</x:t>
  </x:si>
  <x:si>
    <x:t xml:space="preserve">Prevents obvious invalid denominators.</x:t>
  </x:si>
  <x:si>
    <x:t xml:space="preserve">GMI financing totals reconcile</x:t>
  </x:si>
  <x:si>
    <x:t xml:space="preserve">Announcement composition, not capital availability.</x:t>
  </x:si>
  <x:si>
    <x:t xml:space="preserve">IMPORTANT LIMITATION</x:t>
  </x:si>
  <x:si>
    <x:t xml:space="preserve">ALL CHECKS PASS ≠ INVESTMENT APPROVAL</x:t>
  </x:si>
  <x:si>
    <x:t xml:space="preserve">Power, signed lease, engineering, tenant credit unverified.</x:t>
  </x:si>
</x:sst>
</file>

<file path=xl/styles.xml><?xml version="1.0" encoding="utf-8"?>
<x:styleSheet xmlns:x="http://schemas.openxmlformats.org/spreadsheetml/2006/main">
  <x:numFmts count="55">
    <x:numFmt numFmtId="164" formatCode="#,##0.0;[Red]\(#,##0.0\);&quot;-&quot;"/>
    <x:numFmt numFmtId="165" formatCode="&quot;$&quot;#,##0.0,,&quot;m&quot;;[Red]\(&quot;$&quot;#,##0.0,,&quot;m&quot;\);&quot;-&quot;"/>
    <x:numFmt numFmtId="166" formatCode="0.0%;[Red]\(0.0%\);&quot;-&quot;"/>
    <x:numFmt numFmtId="167" formatCode="0.00&quot;x&quot;;[Red]\(0.00&quot;x&quot;\);&quot;-&quot;"/>
    <x:numFmt numFmtId="168" formatCode="#,##0;[Red]\(#,##0\);&quot;-&quot;"/>
    <x:numFmt numFmtId="169" formatCode="&quot;$&quot;0.000;[Red]\(&quot;$&quot;0.000\);&quot;-&quot;"/>
    <x:numFmt numFmtId="170" formatCode="&quot;$&quot;#,##0;[Red]\(&quot;$&quot;#,##0\);&quot;-&quot;"/>
    <x:numFmt numFmtId="171" formatCode="&quot;$&quot;0.00;[Red]\(&quot;$&quot;0.00\);&quot;-&quot;"/>
    <x:numFmt numFmtId="172" formatCode="0.00;[Red]\(0.00\);&quot;-&quot;"/>
    <x:numFmt numFmtId="173" formatCode="0.00&quot;x&quot;"/>
    <x:numFmt numFmtId="200" formatCode="$#,##0.00,,&quot;m&quot;;[Red]($#,##0.00,,&quot;m&quot;);&quot;-&quot;"/>
    <x:numFmt numFmtId="201" formatCode="0.00%;[Red](0.00%);&quot;-&quot;"/>
    <x:numFmt numFmtId="202" formatCode="$#,##0.00;[Red]($#,##0.00);&quot;-&quot;"/>
    <x:numFmt numFmtId="203" formatCode="0.00;[Red](0.00);&quot;-&quot;"/>
    <x:numFmt numFmtId="204" formatCode="0.0&quot; MW&quot;"/>
    <x:numFmt numFmtId="205" formatCode="0.00&quot;x&quot;;[Red](0.00&quot;x&quot;);&quot;-&quot;"/>
    <x:numFmt numFmtId="206" formatCode="#,##0&quot; GPUs&quot;"/>
    <x:numFmt numFmtId="207" formatCode="$#,##0.00&quot;/SF&quot;"/>
    <x:numFmt numFmtId="208" formatCode="#,##0&quot; kWh&quot;"/>
    <x:numFmt numFmtId="209" formatCode="$0.000&quot;/kWh&quot;"/>
    <x:numFmt numFmtId="210" formatCode="0&quot; months&quot;"/>
    <x:numFmt numFmtId="211" formatCode="0&quot; years&quot;"/>
    <x:numFmt numFmtId="212" formatCode="#,##0.0;[Red](#,##0.0);&quot;-&quot;"/>
    <x:numFmt numFmtId="213" formatCode="#,##0;[Red](#,##0);&quot;-&quot;"/>
    <x:numFmt numFmtId="214" formatCode="$0.00,,&quot;m&quot;;[Red]($0.00,,&quot;m&quot;);&quot;-&quot;"/>
    <x:numFmt numFmtId="215" formatCode="#,##0.00;[Red](#,##0.00);&quot;-&quot;"/>
    <x:numFmt numFmtId="216" formatCode="$0.000;[Red]($0.000);&quot;-&quot;"/>
    <x:numFmt numFmtId="217" formatCode="$0.000,,&quot;m&quot;;[Red]($0.000,,&quot;m&quot;);&quot;-&quot;"/>
    <x:numFmt numFmtId="218" formatCode="General"/>
    <x:numFmt numFmtId="219" formatCode="#,##0.0&quot; MW&quot;;[Red](#,##0.0&quot; MW&quot;);&quot;-&quot;"/>
    <x:numFmt numFmtId="220" formatCode="#,##0.0&quot; acres&quot;;[Red](#,##0.0&quot; acres&quot;);&quot;-&quot;"/>
    <x:numFmt numFmtId="221" formatCode="#,##0&quot; SF&quot;;[Red](#,##0&quot; SF&quot;);&quot;-&quot;"/>
    <x:numFmt numFmtId="222" formatCode="#,##0&quot; months&quot;;[Red](#,##0&quot; months&quot;);&quot;-&quot;"/>
    <x:numFmt numFmtId="223" formatCode="#,##0&quot; years&quot;;[Red](#,##0&quot; years&quot;);&quot;-&quot;"/>
    <x:numFmt numFmtId="224" formatCode="#,##0&quot; GPUs&quot;;[Red](#,##0&quot; GPUs&quot;);&quot;-&quot;"/>
    <x:numFmt numFmtId="225" formatCode="$0.00&quot;/kW/mo&quot;"/>
    <x:numFmt numFmtId="226" formatCode="#,##0&quot; kW&quot;;[Red](#,##0&quot; kW&quot;);&quot;-&quot;"/>
    <x:numFmt numFmtId="227" formatCode="#,##0&quot; hours&quot;;[Red](#,##0&quot; hours&quot;);&quot;-&quot;"/>
    <x:numFmt numFmtId="228" formatCode="#,##0.0,&quot; MWh&quot;;[Red](#,##0.0,&quot; MWh&quot;);&quot;-&quot;"/>
    <x:numFmt numFmtId="229" formatCode="#,##0.00&quot; MW&quot;;[Red](#,##0.00&quot; MW&quot;);&quot;-&quot;"/>
    <x:numFmt numFmtId="230" formatCode="$0.00&quot;/GPU-hour&quot;"/>
    <x:numFmt numFmtId="231" formatCode="#,##0.0&quot; MW&quot;"/>
    <x:numFmt numFmtId="232" formatCode="$#,##0.0&quot;m&quot;;[Red]($#,##0.0&quot;m&quot;);&quot;-&quot;"/>
    <x:numFmt numFmtId="233" formatCode="#,##0&quot; month&quot;;[Red](#,##0&quot; month&quot;);&quot;-&quot;"/>
    <x:numFmt numFmtId="234" formatCode="#,##0&quot; kWh&quot;;[Red](#,##0&quot; kWh&quot;);&quot;-&quot;"/>
    <x:numFmt numFmtId="235" formatCode="&quot;&gt;&quot;#,##0.0&quot; MW&quot;"/>
    <x:numFmt numFmtId="236" formatCode="$0.00&quot;/kW/mo&quot;;[Red]($0.00&quot;/kW/mo&quot;);&quot;-&quot;"/>
    <x:numFmt numFmtId="237" formatCode="$0.000&quot;/kWh&quot;;[Red]($0.000&quot;/kWh&quot;);&quot;-&quot;"/>
    <x:numFmt numFmtId="238" formatCode="#,##0.0&quot; MWh&quot;;[Red](#,##0.0&quot; MWh&quot;);&quot;-&quot;"/>
    <x:numFmt numFmtId="239" formatCode="$0.000&quot;bn&quot;;[Red]($0.000&quot;bn&quot;);&quot;-&quot;"/>
    <x:numFmt numFmtId="240" formatCode="&quot;&gt;&quot;0.0&quot; GW&quot;"/>
    <x:numFmt numFmtId="241" formatCode="#,##0.0"/>
    <x:numFmt numFmtId="242" formatCode="$#,##0.00&quot;bn&quot;"/>
    <x:numFmt numFmtId="243" formatCode="0&quot; MW&quot;"/>
    <x:numFmt numFmtId="244" formatCode="$#,##0.00&quot;m&quot;"/>
  </x:numFmts>
  <x:fonts count="48">
    <x:font>
      <x:sz val="11"/>
      <x:name val="Carlito"/>
    </x:font>
    <x:font>
      <x:sz val="10"/>
      <x:color rgb="FF1D2935"/>
      <x:name val="Arial"/>
    </x:font>
    <x:font>
      <x:b/>
      <x:sz val="10"/>
      <x:color rgb="FF1C5B97"/>
      <x:name val="Arial"/>
    </x:font>
    <x:font>
      <x:b/>
      <x:sz val="27"/>
      <x:color rgb="FF163449"/>
      <x:name val="Arial"/>
    </x:font>
    <x:font>
      <x:b/>
      <x:sz val="32"/>
      <x:color rgb="FF163449"/>
      <x:name val="Arial"/>
    </x:font>
    <x:font>
      <x:sz val="12"/>
      <x:color rgb="FF526576"/>
      <x:name val="Arial"/>
    </x:font>
    <x:font>
      <x:b/>
      <x:sz val="10"/>
      <x:color rgb="FF526576"/>
      <x:name val="Arial"/>
    </x:font>
    <x:font>
      <x:sz val="9.5"/>
      <x:color rgb="FF526576"/>
      <x:name val="Arial"/>
    </x:font>
    <x:font>
      <x:b/>
      <x:sz val="20"/>
      <x:color rgb="FF163449"/>
      <x:name val="Arial"/>
    </x:font>
    <x:font>
      <x:sz val="12"/>
      <x:color rgb="FF1D2935"/>
      <x:name val="Arial"/>
    </x:font>
    <x:font>
      <x:b/>
      <x:sz val="11"/>
      <x:color rgb="FF163449"/>
      <x:name val="Arial"/>
    </x:font>
    <x:font>
      <x:sz val="9"/>
      <x:color rgb="FF526576"/>
      <x:name val="Arial"/>
    </x:font>
    <x:font>
      <x:b/>
      <x:sz val="16"/>
      <x:color rgb="FFFFFFFF"/>
      <x:name val="Arial"/>
    </x:font>
    <x:font>
      <x:b/>
      <x:sz val="9.5"/>
      <x:color rgb="FFFFFFFF"/>
      <x:name val="Arial"/>
    </x:font>
    <x:font>
      <x:b/>
      <x:sz val="10"/>
      <x:color rgb="FFFFFFFF"/>
      <x:name val="Arial"/>
    </x:font>
    <x:font>
      <x:b/>
      <x:sz val="10"/>
      <x:color rgb="FF163449"/>
      <x:name val="Arial"/>
    </x:font>
    <x:font>
      <x:sz val="10"/>
      <x:color rgb="FF18714B"/>
      <x:name val="Arial"/>
    </x:font>
    <x:font>
      <x:b/>
      <x:sz val="9"/>
      <x:color rgb="FFFFFFFF"/>
      <x:name val="Arial"/>
    </x:font>
    <x:font>
      <x:b/>
      <x:sz val="17"/>
      <x:color rgb="FF163449"/>
      <x:name val="Arial"/>
    </x:font>
    <x:font>
      <x:sz val="10"/>
      <x:color rgb="FF526576"/>
      <x:name val="Arial"/>
    </x:font>
    <x:font>
      <x:b/>
      <x:sz val="10"/>
      <x:color rgb="FF1D2935"/>
      <x:name val="Arial"/>
    </x:font>
    <x:font>
      <x:b/>
      <x:sz val="10"/>
      <x:color rgb="FF18714B"/>
      <x:name val="Arial"/>
    </x:font>
    <x:font>
      <x:sz val="10"/>
      <x:color rgb="FF1C5B97"/>
      <x:name val="Arial"/>
    </x:font>
    <x:font>
      <x:sz val="10"/>
      <x:color rgb="FF1D2935"/>
      <x:name val="Arial"/>
    </x:font>
    <x:font>
      <x:b/>
      <x:sz val="9"/>
      <x:color rgb="FF1C5B97"/>
      <x:name val="Arial"/>
    </x:font>
    <x:font>
      <x:b/>
      <x:sz val="19"/>
      <x:color rgb="FF163449"/>
      <x:name val="Arial"/>
    </x:font>
    <x:font>
      <x:b/>
      <x:sz val="9"/>
      <x:color rgb="FF526576"/>
      <x:name val="Arial"/>
    </x:font>
    <x:font>
      <x:sz val="11"/>
      <x:color rgb="FF1D2935"/>
      <x:name val="Arial"/>
    </x:font>
    <x:font>
      <x:sz val="10"/>
      <x:color rgb="FF18714B"/>
      <x:name val="Arial"/>
    </x:font>
    <x:font>
      <x:b/>
      <x:sz val="10"/>
      <x:color rgb="FF163449"/>
      <x:name val="Arial"/>
    </x:font>
    <x:font>
      <x:b/>
      <x:sz val="9"/>
      <x:color rgb="FFFFFFFF"/>
      <x:name val="Arial"/>
    </x:font>
    <x:font>
      <x:sz val="8.5"/>
      <x:color rgb="FF526576"/>
      <x:name val="Arial"/>
    </x:font>
    <x:font>
      <x:sz val="8"/>
      <x:color rgb="FF526576"/>
      <x:name val="Arial"/>
    </x:font>
    <x:font>
      <x:sz val="10"/>
      <x:color rgb="FF243746"/>
      <x:name val="Arial"/>
    </x:font>
    <x:font>
      <x:b/>
      <x:sz val="10"/>
      <x:color rgb="FF243746"/>
      <x:name val="Arial"/>
    </x:font>
    <x:font>
      <x:sz val="9"/>
      <x:color rgb="FF50697B"/>
      <x:name val="Arial"/>
    </x:font>
    <x:font>
      <x:sz val="10"/>
      <x:name val="Arial"/>
    </x:font>
    <x:font>
      <x:b/>
      <x:sz val="11"/>
      <x:color rgb="FFFFFFFF"/>
      <x:name val="Carlito"/>
    </x:font>
    <x:font>
      <x:b/>
      <x:sz val="11.5"/>
      <x:color rgb="FF253746"/>
      <x:name val="Arial"/>
    </x:font>
    <x:font>
      <x:sz val="11.5"/>
      <x:color rgb="FF253746"/>
      <x:name val="Arial"/>
    </x:font>
    <x:font>
      <x:b/>
      <x:sz val="10"/>
      <x:color rgb="FF14747F"/>
      <x:name val="Arial"/>
    </x:font>
    <x:font>
      <x:b/>
      <x:sz val="17"/>
      <x:color rgb="FF193B5B"/>
      <x:name val="Arial"/>
    </x:font>
    <x:font>
      <x:b/>
      <x:sz val="9.5"/>
      <x:color rgb="FF253746"/>
      <x:name val="Arial"/>
    </x:font>
    <x:font>
      <x:sz val="9.5"/>
      <x:color rgb="FF253746"/>
      <x:name val="Arial"/>
    </x:font>
    <x:font>
      <x:b/>
      <x:sz val="10"/>
      <x:color rgb="FF253746"/>
      <x:name val="Arial"/>
    </x:font>
    <x:font>
      <x:sz val="9"/>
      <x:color rgb="FF253746"/>
      <x:name val="Arial"/>
    </x:font>
    <x:font>
      <x:sz val="8"/>
      <x:color rgb="FF253746"/>
      <x:name val="Arial"/>
    </x:font>
    <x:font>
      <x:b/>
      <x:sz val="10"/>
      <x:color rgb="FF193B5B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AF1F5"/>
      </x:patternFill>
    </x:fill>
    <x:fill>
      <x:patternFill patternType="solid">
        <x:fgColor rgb="FF163449"/>
      </x:patternFill>
    </x:fill>
    <x:fill>
      <x:patternFill patternType="solid">
        <x:fgColor rgb="FFF5F7FA"/>
      </x:patternFill>
    </x:fill>
    <x:fill>
      <x:patternFill patternType="solid">
        <x:fgColor rgb="FF0A6874"/>
      </x:patternFill>
    </x:fill>
    <x:fill>
      <x:patternFill patternType="solid">
        <x:fgColor rgb="FFFFF3D8"/>
      </x:patternFill>
    </x:fill>
    <x:fill>
      <x:patternFill patternType="solid">
        <x:fgColor rgb="FFE9EFF5"/>
      </x:patternFill>
    </x:fill>
    <x:fill>
      <x:patternFill patternType="solid">
        <x:fgColor rgb="FFD8E6F1"/>
      </x:patternFill>
    </x:fill>
    <x:fill>
      <x:patternFill patternType="solid">
        <x:fgColor rgb="FFC5DAEA"/>
      </x:patternFill>
    </x:fill>
    <x:fill>
      <x:patternFill patternType="solid">
        <x:fgColor rgb="FF193B5B"/>
      </x:patternFill>
    </x:fill>
    <x:fill>
      <x:patternFill patternType="solid">
        <x:fgColor rgb="FFEAF3F6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  <x:fill>
      <x:patternFill patternType="solid">
        <x:fgColor rgb="FFE2EDF2"/>
      </x:patternFill>
    </x:fill>
  </x:fills>
  <x:borders count="13">
    <x:border/>
    <x:border/>
    <x:border/>
    <x:border/>
    <x:border/>
    <x:border/>
    <x:border/>
    <x:border/>
    <x:border/>
    <x:border/>
    <x:border>
      <x:bottom style="thin">
        <x:color rgb="FFBCCBD7"/>
      </x:bottom>
    </x:border>
    <x:border/>
    <x:border>
      <x:bottom style="thin">
        <x:color rgb="FFBCCBD7"/>
      </x:bottom>
    </x:border>
  </x:borders>
  <x:cellStyleXfs count="1">
    <x:xf numFmtId="0" fontId="0" fillId="0" borderId="0"/>
  </x:cellStyleXfs>
  <x:cellXfs count="1263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horizontal="left" vertical="center" wrapText="1"/>
    </x:xf>
    <x:xf numFmtId="165" fontId="1" fillId="2" borderId="5" xfId="0" applyNumberFormat="1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13" fillId="4" borderId="5" xfId="0" applyFont="1" applyFill="1" applyBorder="1" applyAlignment="1">
      <x:alignment horizontal="left" vertical="center" wrapText="1"/>
    </x:xf>
    <x:xf numFmtId="0" fontId="13" fillId="4" borderId="5" xfId="0" applyFont="1" applyFill="1" applyBorder="1" applyAlignment="1">
      <x:alignment horizontal="center" vertical="center" wrapText="1"/>
    </x:xf>
    <x:xf numFmtId="0" fontId="13" fillId="4" borderId="6" xfId="0" applyFont="1" applyFill="1" applyBorder="1" applyAlignment="1">
      <x:alignment horizontal="center" vertical="center" wrapText="1"/>
    </x:xf>
    <x:xf numFmtId="0" fontId="13" fillId="4" borderId="10" xfId="0" applyFont="1" applyFill="1" applyBorder="1" applyAlignment="1">
      <x:alignment horizontal="left" vertical="center" wrapText="1"/>
    </x:xf>
    <x:xf numFmtId="0" fontId="13" fillId="4" borderId="10" xfId="0" applyFont="1" applyFill="1" applyBorder="1" applyAlignment="1">
      <x:alignment horizontal="center" vertical="center" wrapText="1"/>
    </x:xf>
    <x:xf numFmtId="0" fontId="1" fillId="5" borderId="5" xfId="0" applyFont="1" applyFill="1" applyBorder="1" applyAlignment="1">
      <x:alignment horizontal="left" vertical="center" wrapText="1"/>
    </x:xf>
    <x:xf numFmtId="0" fontId="1" fillId="5" borderId="5" xfId="0" applyFont="1" applyFill="1" applyBorder="1" applyAlignment="1">
      <x:alignment horizontal="center" vertical="center" wrapText="1"/>
    </x:xf>
    <x:xf numFmtId="0" fontId="1" fillId="5" borderId="6" xfId="0" applyFont="1" applyFill="1" applyBorder="1" applyAlignment="1">
      <x:alignment horizontal="center" vertical="center" wrapText="1"/>
    </x:xf>
    <x:xf numFmtId="0" fontId="2" fillId="5" borderId="5" xfId="0" applyFont="1" applyFill="1" applyBorder="1" applyAlignment="1">
      <x:alignment horizontal="center" vertical="center" wrapText="1"/>
    </x:xf>
    <x:xf numFmtId="164" fontId="1" fillId="2" borderId="5" xfId="0" applyNumberFormat="1" applyFont="1" applyFill="1" applyBorder="1" applyAlignment="1">
      <x:alignment horizontal="center" vertical="center" wrapText="1"/>
    </x:xf>
    <x:xf numFmtId="0" fontId="14" fillId="4" borderId="5" xfId="0" applyFont="1" applyFill="1" applyBorder="1" applyAlignment="1">
      <x:alignment horizontal="center" vertical="center" wrapText="1"/>
    </x:xf>
    <x:xf numFmtId="0" fontId="14" fillId="4" borderId="6" xfId="0" applyFont="1" applyFill="1" applyBorder="1" applyAlignment="1">
      <x:alignment horizontal="center" vertical="center" wrapText="1"/>
    </x:xf>
    <x:xf numFmtId="164" fontId="1" fillId="5" borderId="5" xfId="0" applyNumberFormat="1" applyFont="1" applyFill="1" applyBorder="1" applyAlignment="1">
      <x:alignment horizontal="center" vertical="center" wrapText="1"/>
    </x:xf>
    <x:xf numFmtId="165" fontId="1" fillId="5" borderId="5" xfId="0" applyNumberFormat="1" applyFont="1" applyFill="1" applyBorder="1" applyAlignment="1">
      <x:alignment horizontal="center" vertical="center" wrapText="1"/>
    </x:xf>
    <x:xf numFmtId="164" fontId="16" fillId="5" borderId="5" xfId="0" applyNumberFormat="1" applyFont="1" applyFill="1" applyBorder="1" applyAlignment="1">
      <x:alignment horizontal="center" vertical="center" wrapText="1"/>
    </x:xf>
    <x:xf numFmtId="165" fontId="16" fillId="2" borderId="5" xfId="0" applyNumberFormat="1" applyFont="1" applyFill="1" applyBorder="1" applyAlignment="1">
      <x:alignment horizontal="center" vertical="center" wrapText="1"/>
    </x:xf>
    <x:xf numFmtId="165" fontId="16" fillId="5" borderId="5" xfId="0" applyNumberFormat="1" applyFont="1" applyFill="1" applyBorder="1" applyAlignment="1">
      <x:alignment horizontal="center" vertical="center" wrapText="1"/>
    </x:xf>
    <x:xf numFmtId="166" fontId="1" fillId="2" borderId="5" xfId="0" applyNumberFormat="1" applyFont="1" applyFill="1" applyBorder="1" applyAlignment="1">
      <x:alignment horizontal="center" vertical="center" wrapText="1"/>
    </x:xf>
    <x:xf numFmtId="167" fontId="1" fillId="2" borderId="5" xfId="0" applyNumberFormat="1" applyFont="1" applyFill="1" applyBorder="1" applyAlignment="1">
      <x:alignment horizontal="center" vertical="center" wrapText="1"/>
    </x:xf>
    <x:xf numFmtId="0" fontId="15" fillId="3" borderId="10" xfId="0" applyFont="1" applyFill="1" applyBorder="1" applyAlignment="1">
      <x:alignment horizontal="left" vertical="center" wrapText="1"/>
    </x:xf>
    <x:xf numFmtId="165" fontId="15" fillId="3" borderId="10" xfId="0" applyNumberFormat="1" applyFont="1" applyFill="1" applyBorder="1" applyAlignment="1">
      <x:alignment horizontal="center" vertical="center" wrapText="1"/>
    </x:xf>
    <x:xf numFmtId="0" fontId="15" fillId="3" borderId="10" xfId="0" applyFont="1" applyFill="1" applyBorder="1" applyAlignment="1">
      <x:alignment horizontal="center" vertical="center" wrapText="1"/>
    </x:xf>
    <x:xf numFmtId="166" fontId="15" fillId="3" borderId="10" xfId="0" applyNumberFormat="1" applyFont="1" applyFill="1" applyBorder="1" applyAlignment="1">
      <x:alignment horizontal="center" vertical="center" wrapText="1"/>
    </x:xf>
    <x:xf numFmtId="166" fontId="1" fillId="5" borderId="5" xfId="0" applyNumberFormat="1" applyFont="1" applyFill="1" applyBorder="1" applyAlignment="1">
      <x:alignment horizontal="center" vertical="center" wrapText="1"/>
    </x:xf>
    <x:xf numFmtId="167" fontId="15" fillId="3" borderId="10" xfId="0" applyNumberFormat="1" applyFont="1" applyFill="1" applyBorder="1" applyAlignment="1">
      <x:alignment horizontal="center" vertical="center" wrapText="1"/>
    </x:xf>
    <x:xf numFmtId="167" fontId="1" fillId="5" borderId="5" xfId="0" applyNumberFormat="1" applyFont="1" applyFill="1" applyBorder="1" applyAlignment="1">
      <x:alignment horizontal="center" vertical="center" wrapText="1"/>
    </x:xf>
    <x:xf numFmtId="164" fontId="16" fillId="2" borderId="5" xfId="0" applyNumberFormat="1" applyFont="1" applyFill="1" applyBorder="1" applyAlignment="1">
      <x:alignment horizontal="center" vertical="center" wrapText="1"/>
    </x:xf>
    <x:xf numFmtId="166" fontId="16" fillId="5" borderId="5" xfId="0" applyNumberFormat="1" applyFont="1" applyFill="1" applyBorder="1" applyAlignment="1">
      <x:alignment horizontal="center" vertical="center" wrapText="1"/>
    </x:xf>
    <x:xf numFmtId="167" fontId="16" fillId="2" borderId="5" xfId="0" applyNumberFormat="1" applyFont="1" applyFill="1" applyBorder="1" applyAlignment="1">
      <x:alignment horizontal="center" vertical="center" wrapText="1"/>
    </x:xf>
    <x:xf numFmtId="166" fontId="16" fillId="2" borderId="5" xfId="0" applyNumberFormat="1" applyFont="1" applyFill="1" applyBorder="1" applyAlignment="1">
      <x:alignment horizontal="center" vertical="center" wrapText="1"/>
    </x:xf>
    <x:xf numFmtId="167" fontId="16" fillId="5" borderId="5" xfId="0" applyNumberFormat="1" applyFont="1" applyFill="1" applyBorder="1" applyAlignment="1">
      <x:alignment horizontal="center" vertical="center" wrapText="1"/>
    </x:xf>
    <x:xf numFmtId="0" fontId="17" fillId="4" borderId="5" xfId="0" applyFont="1" applyFill="1" applyBorder="1" applyAlignment="1">
      <x:alignment horizontal="center" vertical="center" wrapText="1"/>
    </x:xf>
    <x:xf numFmtId="0" fontId="17" fillId="4" borderId="6" xfId="0" applyFont="1" applyFill="1" applyBorder="1" applyAlignment="1">
      <x:alignment horizontal="center" vertical="center" wrapText="1"/>
    </x:xf>
    <x:xf numFmtId="168" fontId="1" fillId="2" borderId="5" xfId="0" applyNumberFormat="1" applyFont="1" applyFill="1" applyBorder="1" applyAlignment="1">
      <x:alignment horizontal="center" vertical="center" wrapText="1"/>
    </x:xf>
    <x:xf numFmtId="171" fontId="1" fillId="2" borderId="5" xfId="0" applyNumberFormat="1" applyFont="1" applyFill="1" applyBorder="1" applyAlignment="1">
      <x:alignment horizontal="center" vertical="center" wrapText="1"/>
    </x:xf>
    <x:xf numFmtId="168" fontId="1" fillId="5" borderId="5" xfId="0" applyNumberFormat="1" applyFont="1" applyFill="1" applyBorder="1" applyAlignment="1">
      <x:alignment horizontal="center" vertical="center" wrapText="1"/>
    </x:xf>
    <x:xf numFmtId="164" fontId="2" fillId="7" borderId="5" xfId="0" applyNumberFormat="1" applyFont="1" applyFill="1" applyBorder="1" applyAlignment="1">
      <x:alignment horizontal="center" vertical="center" wrapText="1"/>
    </x:xf>
    <x:xf numFmtId="168" fontId="2" fillId="7" borderId="5" xfId="0" applyNumberFormat="1" applyFont="1" applyFill="1" applyBorder="1" applyAlignment="1">
      <x:alignment horizontal="center" vertical="center" wrapText="1"/>
    </x:xf>
    <x:xf numFmtId="165" fontId="2" fillId="7" borderId="5" xfId="0" applyNumberFormat="1" applyFont="1" applyFill="1" applyBorder="1" applyAlignment="1">
      <x:alignment horizontal="center" vertical="center" wrapText="1"/>
    </x:xf>
    <x:xf numFmtId="166" fontId="2" fillId="7" borderId="5" xfId="0" applyNumberFormat="1" applyFont="1" applyFill="1" applyBorder="1" applyAlignment="1">
      <x:alignment horizontal="center" vertical="center" wrapText="1"/>
    </x:xf>
    <x:xf numFmtId="2" fontId="2" fillId="7" borderId="5" xfId="0" applyNumberFormat="1" applyFont="1" applyFill="1" applyBorder="1" applyAlignment="1">
      <x:alignment horizontal="center" vertical="center" wrapText="1"/>
    </x:xf>
    <x:xf numFmtId="169" fontId="2" fillId="7" borderId="5" xfId="0" applyNumberFormat="1" applyFont="1" applyFill="1" applyBorder="1" applyAlignment="1">
      <x:alignment horizontal="center" vertical="center" wrapText="1"/>
    </x:xf>
    <x:xf numFmtId="170" fontId="2" fillId="7" borderId="5" xfId="0" applyNumberFormat="1" applyFont="1" applyFill="1" applyBorder="1" applyAlignment="1">
      <x:alignment horizontal="center" vertical="center" wrapText="1"/>
    </x:xf>
    <x:xf numFmtId="171" fontId="2" fillId="7" borderId="5" xfId="0" applyNumberFormat="1" applyFont="1" applyFill="1" applyBorder="1" applyAlignment="1">
      <x:alignment horizontal="center" vertical="center" wrapText="1"/>
    </x:xf>
    <x:xf numFmtId="168" fontId="20" fillId="7" borderId="5" xfId="0" applyNumberFormat="1" applyFont="1" applyFill="1" applyBorder="1" applyAlignment="1">
      <x:alignment horizontal="center" vertical="center" wrapText="1"/>
    </x:xf>
    <x:xf numFmtId="168" fontId="16" fillId="2" borderId="5" xfId="0" applyNumberFormat="1" applyFont="1" applyFill="1" applyBorder="1" applyAlignment="1">
      <x:alignment horizontal="center" vertical="center" wrapText="1"/>
    </x:xf>
    <x:xf numFmtId="168" fontId="16" fillId="5" borderId="5" xfId="0" applyNumberFormat="1" applyFont="1" applyFill="1" applyBorder="1" applyAlignment="1">
      <x:alignment horizontal="center" vertical="center" wrapText="1"/>
    </x:xf>
    <x:xf numFmtId="2" fontId="16" fillId="5" borderId="5" xfId="0" applyNumberFormat="1" applyFont="1" applyFill="1" applyBorder="1" applyAlignment="1">
      <x:alignment horizontal="center" vertical="center" wrapText="1"/>
    </x:xf>
    <x:xf numFmtId="169" fontId="16" fillId="2" borderId="5" xfId="0" applyNumberFormat="1" applyFont="1" applyFill="1" applyBorder="1" applyAlignment="1">
      <x:alignment horizontal="center" vertical="center" wrapText="1"/>
    </x:xf>
    <x:xf numFmtId="172" fontId="1" fillId="2" borderId="5" xfId="0" applyNumberFormat="1" applyFont="1" applyFill="1" applyBorder="1" applyAlignment="1">
      <x:alignment horizontal="center" vertical="center" wrapText="1"/>
    </x:xf>
    <x:xf numFmtId="170" fontId="16" fillId="5" borderId="5" xfId="0" applyNumberFormat="1" applyFont="1" applyFill="1" applyBorder="1" applyAlignment="1">
      <x:alignment horizontal="center" vertical="center" wrapText="1"/>
    </x:xf>
    <x:xf numFmtId="1" fontId="1" fillId="2" borderId="5" xfId="0" applyNumberFormat="1" applyFont="1" applyFill="1" applyBorder="1" applyAlignment="1">
      <x:alignment horizontal="left" vertical="center" wrapText="1"/>
    </x:xf>
    <x:xf numFmtId="165" fontId="1" fillId="2" borderId="6" xfId="0" applyNumberFormat="1" applyFont="1" applyFill="1" applyBorder="1" applyAlignment="1">
      <x:alignment horizontal="center" vertical="center" wrapText="1"/>
    </x:xf>
    <x:xf numFmtId="1" fontId="1" fillId="5" borderId="5" xfId="0" applyNumberFormat="1" applyFont="1" applyFill="1" applyBorder="1" applyAlignment="1">
      <x:alignment horizontal="left" vertical="center" wrapText="1"/>
    </x:xf>
    <x:xf numFmtId="165" fontId="1" fillId="5" borderId="6" xfId="0" applyNumberFormat="1" applyFont="1" applyFill="1" applyBorder="1" applyAlignment="1">
      <x:alignment horizontal="center" vertical="center" wrapText="1"/>
    </x:xf>
    <x:xf numFmtId="167" fontId="1" fillId="2" borderId="6" xfId="0" applyNumberFormat="1" applyFont="1" applyFill="1" applyBorder="1" applyAlignment="1">
      <x:alignment horizontal="center" vertical="center" wrapText="1"/>
    </x:xf>
    <x:xf numFmtId="1" fontId="13" fillId="4" borderId="10" xfId="0" applyNumberFormat="1" applyFont="1" applyFill="1" applyBorder="1" applyAlignment="1">
      <x:alignment horizontal="center" vertical="center" wrapText="1"/>
    </x:xf>
    <x:xf numFmtId="172" fontId="15" fillId="3" borderId="10" xfId="0" applyNumberFormat="1" applyFont="1" applyFill="1" applyBorder="1" applyAlignment="1">
      <x:alignment horizontal="center" vertical="center" wrapText="1"/>
    </x:xf>
    <x:xf numFmtId="164" fontId="16" fillId="2" borderId="6" xfId="0" applyNumberFormat="1" applyFont="1" applyFill="1" applyBorder="1" applyAlignment="1">
      <x:alignment horizontal="center" vertical="center" wrapText="1"/>
    </x:xf>
    <x:xf numFmtId="170" fontId="16" fillId="5" borderId="6" xfId="0" applyNumberFormat="1" applyFont="1" applyFill="1" applyBorder="1" applyAlignment="1">
      <x:alignment horizontal="center" vertical="center" wrapText="1"/>
    </x:xf>
    <x:xf numFmtId="165" fontId="16" fillId="2" borderId="6" xfId="0" applyNumberFormat="1" applyFont="1" applyFill="1" applyBorder="1" applyAlignment="1">
      <x:alignment horizontal="center" vertical="center" wrapText="1"/>
    </x:xf>
    <x:xf numFmtId="165" fontId="16" fillId="5" borderId="6" xfId="0" applyNumberFormat="1" applyFont="1" applyFill="1" applyBorder="1" applyAlignment="1">
      <x:alignment horizontal="center" vertical="center" wrapText="1"/>
    </x:xf>
    <x:xf numFmtId="166" fontId="16" fillId="5" borderId="6" xfId="0" applyNumberFormat="1" applyFont="1" applyFill="1" applyBorder="1" applyAlignment="1">
      <x:alignment horizontal="center" vertical="center" wrapText="1"/>
    </x:xf>
    <x:xf numFmtId="170" fontId="16" fillId="2" borderId="5" xfId="0" applyNumberFormat="1" applyFont="1" applyFill="1" applyBorder="1" applyAlignment="1">
      <x:alignment horizontal="center" vertical="center" wrapText="1"/>
    </x:xf>
    <x:xf numFmtId="166" fontId="1" fillId="2" borderId="5" xfId="0" applyNumberFormat="1" applyFont="1" applyFill="1" applyBorder="1" applyAlignment="1">
      <x:alignment horizontal="left" vertical="center" wrapText="1"/>
    </x:xf>
    <x:xf numFmtId="2" fontId="1" fillId="2" borderId="5" xfId="0" applyNumberFormat="1" applyFont="1" applyFill="1" applyBorder="1" applyAlignment="1">
      <x:alignment horizontal="left" vertical="center" wrapText="1"/>
    </x:xf>
    <x:xf numFmtId="171" fontId="1" fillId="5" borderId="5" xfId="0" applyNumberFormat="1" applyFont="1" applyFill="1" applyBorder="1" applyAlignment="1">
      <x:alignment horizontal="center" vertical="center" wrapText="1"/>
    </x:xf>
    <x:xf numFmtId="166" fontId="1" fillId="5" borderId="5" xfId="0" applyNumberFormat="1" applyFont="1" applyFill="1" applyBorder="1" applyAlignment="1">
      <x:alignment horizontal="left" vertical="center" wrapText="1"/>
    </x:xf>
    <x:xf numFmtId="2" fontId="1" fillId="5" borderId="5" xfId="0" applyNumberFormat="1" applyFont="1" applyFill="1" applyBorder="1" applyAlignment="1">
      <x:alignment horizontal="left" vertical="center" wrapText="1"/>
    </x:xf>
    <x:xf numFmtId="171" fontId="16" fillId="5" borderId="5" xfId="0" applyNumberFormat="1" applyFont="1" applyFill="1" applyBorder="1" applyAlignment="1">
      <x:alignment horizontal="center" vertical="center" wrapText="1"/>
    </x:xf>
    <x:xf numFmtId="2" fontId="16" fillId="2" borderId="5" xfId="0" applyNumberFormat="1" applyFont="1" applyFill="1" applyBorder="1" applyAlignment="1">
      <x:alignment horizontal="center" vertical="center" wrapText="1"/>
    </x:xf>
    <x:xf numFmtId="169" fontId="16" fillId="5" borderId="5" xfId="0" applyNumberFormat="1" applyFont="1" applyFill="1" applyBorder="1" applyAlignment="1">
      <x:alignment horizontal="center" vertical="center" wrapText="1"/>
    </x:xf>
    <x:xf numFmtId="171" fontId="16" fillId="2" borderId="5" xfId="0" applyNumberFormat="1" applyFont="1" applyFill="1" applyBorder="1" applyAlignment="1">
      <x:alignment horizontal="center" vertical="center" wrapText="1"/>
    </x:xf>
    <x:xf numFmtId="170" fontId="1" fillId="2" borderId="5" xfId="0" applyNumberFormat="1" applyFont="1" applyFill="1" applyBorder="1" applyAlignment="1">
      <x:alignment horizontal="left" vertical="center" wrapText="1"/>
    </x:xf>
    <x:xf numFmtId="165" fontId="1" fillId="2" borderId="5" xfId="0" applyNumberFormat="1" applyFont="1" applyFill="1" applyBorder="1" applyAlignment="1">
      <x:alignment horizontal="left" vertical="center" wrapText="1"/>
    </x:xf>
    <x:xf numFmtId="170" fontId="1" fillId="5" borderId="5" xfId="0" applyNumberFormat="1" applyFont="1" applyFill="1" applyBorder="1" applyAlignment="1">
      <x:alignment horizontal="left" vertical="center" wrapText="1"/>
    </x:xf>
    <x:xf numFmtId="170" fontId="15" fillId="3" borderId="10" xfId="0" applyNumberFormat="1" applyFont="1" applyFill="1" applyBorder="1" applyAlignment="1">
      <x:alignment horizontal="left" vertical="center" wrapText="1"/>
    </x:xf>
    <x:xf numFmtId="170" fontId="13" fillId="4" borderId="10" xfId="0" applyNumberFormat="1" applyFont="1" applyFill="1" applyBorder="1" applyAlignment="1">
      <x:alignment horizontal="center" vertical="center" wrapText="1"/>
    </x:xf>
    <x:xf numFmtId="165" fontId="1" fillId="5" borderId="5" xfId="0" applyNumberFormat="1" applyFont="1" applyFill="1" applyBorder="1" applyAlignment="1">
      <x:alignment horizontal="left" vertical="center" wrapText="1"/>
    </x:xf>
    <x:xf numFmtId="165" fontId="15" fillId="3" borderId="10" xfId="0" applyNumberFormat="1" applyFont="1" applyFill="1" applyBorder="1" applyAlignment="1">
      <x:alignment horizontal="left" vertical="center" wrapText="1"/>
    </x:xf>
    <x:xf numFmtId="1" fontId="15" fillId="3" borderId="10" xfId="0" applyNumberFormat="1" applyFont="1" applyFill="1" applyBorder="1" applyAlignment="1">
      <x:alignment horizontal="left" vertical="center" wrapText="1"/>
    </x:xf>
    <x:xf numFmtId="166" fontId="15" fillId="3" borderId="10" xfId="0" applyNumberFormat="1" applyFont="1" applyFill="1" applyBorder="1" applyAlignment="1">
      <x:alignment horizontal="left" vertical="center" wrapText="1"/>
    </x:xf>
    <x:xf numFmtId="166" fontId="16" fillId="8" borderId="5" xfId="0" applyNumberFormat="1" applyFont="1" applyFill="1" applyBorder="1" applyAlignment="1">
      <x:alignment horizontal="center" vertical="center" wrapText="1"/>
    </x:xf>
    <x:xf numFmtId="166" fontId="21" fillId="9" borderId="5" xfId="0" applyNumberFormat="1" applyFont="1" applyFill="1" applyBorder="1" applyAlignment="1">
      <x:alignment horizontal="center" vertical="center" wrapText="1"/>
    </x:xf>
    <x:xf numFmtId="166" fontId="16" fillId="10" borderId="5" xfId="0" applyNumberFormat="1" applyFont="1" applyFill="1" applyBorder="1" applyAlignment="1">
      <x:alignment horizontal="center" vertical="center" wrapText="1"/>
    </x:xf>
    <x:xf numFmtId="166" fontId="16" fillId="10" borderId="6" xfId="0" applyNumberFormat="1" applyFont="1" applyFill="1" applyBorder="1" applyAlignment="1">
      <x:alignment horizontal="center" vertical="center" wrapText="1"/>
    </x:xf>
    <x:xf numFmtId="166" fontId="21" fillId="8" borderId="5" xfId="0" applyNumberFormat="1" applyFont="1" applyFill="1" applyBorder="1" applyAlignment="1">
      <x:alignment horizontal="center" vertical="center" wrapText="1"/>
    </x:xf>
    <x:xf numFmtId="166" fontId="16" fillId="9" borderId="5" xfId="0" applyNumberFormat="1" applyFont="1" applyFill="1" applyBorder="1" applyAlignment="1">
      <x:alignment horizontal="center" vertical="center" wrapText="1"/>
    </x:xf>
    <x:xf numFmtId="166" fontId="15" fillId="5" borderId="10" xfId="0" applyNumberFormat="1" applyFont="1" applyFill="1" applyBorder="1" applyAlignment="1">
      <x:alignment horizontal="center" vertical="center" wrapText="1"/>
    </x:xf>
    <x:xf numFmtId="166" fontId="15" fillId="8" borderId="10" xfId="0" applyNumberFormat="1" applyFont="1" applyFill="1" applyBorder="1" applyAlignment="1">
      <x:alignment horizontal="center" vertical="center" wrapText="1"/>
    </x:xf>
    <x:xf numFmtId="166" fontId="15" fillId="9" borderId="10" xfId="0" applyNumberFormat="1" applyFont="1" applyFill="1" applyBorder="1" applyAlignment="1">
      <x:alignment horizontal="center" vertical="center" wrapText="1"/>
    </x:xf>
    <x:xf numFmtId="166" fontId="16" fillId="9" borderId="6" xfId="0" applyNumberFormat="1" applyFont="1" applyFill="1" applyBorder="1" applyAlignment="1">
      <x:alignment horizontal="center" vertical="center" wrapText="1"/>
    </x:xf>
    <x:xf numFmtId="166" fontId="16" fillId="8" borderId="6" xfId="0" applyNumberFormat="1" applyFont="1" applyFill="1" applyBorder="1" applyAlignment="1">
      <x:alignment horizontal="center" vertical="center" wrapText="1"/>
    </x:xf>
    <x:xf numFmtId="172" fontId="16" fillId="5" borderId="5" xfId="0" applyNumberFormat="1" applyFont="1" applyFill="1" applyBorder="1" applyAlignment="1">
      <x:alignment horizontal="center" vertical="center" wrapText="1"/>
    </x:xf>
    <x:xf numFmtId="172" fontId="16" fillId="2" borderId="5" xfId="0" applyNumberFormat="1" applyFont="1" applyFill="1" applyBorder="1" applyAlignment="1">
      <x:alignment horizontal="center" vertical="center" wrapText="1"/>
    </x:xf>
    <x:xf numFmtId="164" fontId="15" fillId="3" borderId="10" xfId="0" applyNumberFormat="1" applyFont="1" applyFill="1" applyBorder="1" applyAlignment="1">
      <x:alignment horizontal="center" vertical="center" wrapText="1"/>
    </x:xf>
    <x:xf numFmtId="1" fontId="22" fillId="2" borderId="5" xfId="0" applyNumberFormat="1" applyFont="1" applyFill="1" applyBorder="1" applyAlignment="1">
      <x:alignment horizontal="left" vertical="center" wrapText="1"/>
    </x:xf>
    <x:xf numFmtId="1" fontId="22" fillId="5" borderId="5" xfId="0" applyNumberFormat="1" applyFont="1" applyFill="1" applyBorder="1" applyAlignment="1">
      <x:alignment horizontal="left" vertical="center" wrapText="1"/>
    </x:xf>
    <x:xf numFmtId="165" fontId="22" fillId="5" borderId="5" xfId="0" applyNumberFormat="1" applyFont="1" applyFill="1" applyBorder="1" applyAlignment="1">
      <x:alignment horizontal="center" vertical="center" wrapText="1"/>
    </x:xf>
    <x:xf numFmtId="166" fontId="22" fillId="5" borderId="5" xfId="0" applyNumberFormat="1" applyFont="1" applyFill="1" applyBorder="1" applyAlignment="1">
      <x:alignment horizontal="left" vertical="center" wrapText="1"/>
    </x:xf>
    <x:xf numFmtId="166" fontId="22" fillId="2" borderId="5" xfId="0" applyNumberFormat="1" applyFont="1" applyFill="1" applyBorder="1" applyAlignment="1">
      <x:alignment horizontal="left" vertical="center" wrapText="1"/>
    </x:xf>
    <x:xf numFmtId="1" fontId="22" fillId="5" borderId="5" xfId="0" applyNumberFormat="1" applyFont="1" applyFill="1" applyBorder="1" applyAlignment="1">
      <x:alignment horizontal="center" vertical="center" wrapText="1"/>
    </x:xf>
    <x:xf numFmtId="1" fontId="22" fillId="2" borderId="5" xfId="0" applyNumberFormat="1" applyFont="1" applyFill="1" applyBorder="1" applyAlignment="1">
      <x:alignment horizontal="center" vertical="center" wrapText="1"/>
    </x:xf>
    <x:xf numFmtId="166" fontId="22" fillId="2" borderId="5" xfId="0" applyNumberFormat="1" applyFont="1" applyFill="1" applyBorder="1" applyAlignment="1">
      <x:alignment horizontal="center" vertical="center" wrapText="1"/>
    </x:xf>
    <x:xf numFmtId="166" fontId="22" fillId="5" borderId="5" xfId="0" applyNumberFormat="1" applyFont="1" applyFill="1" applyBorder="1" applyAlignment="1">
      <x:alignment horizontal="center" vertical="center" wrapText="1"/>
    </x:xf>
    <x:xf numFmtId="167" fontId="22" fillId="2" borderId="5" xfId="0" applyNumberFormat="1" applyFont="1" applyFill="1" applyBorder="1" applyAlignment="1">
      <x:alignment horizontal="center" vertical="center" wrapText="1"/>
    </x:xf>
    <x:xf numFmtId="1" fontId="16" fillId="5" borderId="5" xfId="0" applyNumberFormat="1" applyFont="1" applyFill="1" applyBorder="1" applyAlignment="1">
      <x:alignment horizontal="center" vertical="center" wrapText="1"/>
    </x:xf>
    <x:xf numFmtId="1" fontId="16" fillId="2" borderId="5" xfId="0" applyNumberFormat="1" applyFont="1" applyFill="1" applyBorder="1" applyAlignment="1">
      <x:alignment horizontal="center" vertical="center" wrapText="1"/>
    </x:xf>
    <x:xf numFmtId="0" fontId="16" fillId="5" borderId="5" xfId="0" applyFont="1" applyFill="1" applyBorder="1" applyAlignment="1">
      <x:alignment horizontal="center" vertical="center" wrapText="1"/>
    </x:xf>
    <x:xf numFmtId="0" fontId="16" fillId="2" borderId="5" xfId="0" applyFont="1" applyFill="1" applyBorder="1" applyAlignment="1">
      <x:alignment horizontal="center" vertical="center" wrapText="1"/>
    </x:xf>
    <x:xf numFmtId="0" fontId="23" fillId="2" borderId="5" xfId="0" applyFont="1" applyFill="1" applyBorder="1" applyAlignment="1">
      <x:alignment horizontal="center" vertical="center" wrapText="1"/>
    </x:xf>
    <x:xf numFmtId="0" fontId="23" fillId="2" borderId="6" xfId="0" applyFont="1" applyFill="1" applyBorder="1" applyAlignment="1">
      <x:alignment horizontal="center" vertical="center" wrapText="1"/>
    </x:xf>
    <x:xf numFmtId="0" fontId="23" fillId="2" borderId="4" xfId="0" applyFont="1" applyFill="1" applyBorder="1" applyAlignment="1">
      <x:alignment horizontal="left" vertical="center" wrapText="1"/>
    </x:xf>
    <x:xf numFmtId="0" fontId="28" fillId="2" borderId="5" xfId="0" applyFont="1" applyFill="1" applyBorder="1" applyAlignment="1">
      <x:alignment horizontal="center" vertical="center" wrapText="1"/>
    </x:xf>
    <x:xf numFmtId="0" fontId="30" fillId="4" borderId="5" xfId="0" applyFont="1" applyFill="1" applyBorder="1" applyAlignment="1">
      <x:alignment horizontal="center" vertical="center" wrapText="1"/>
    </x:xf>
    <x:xf numFmtId="0" fontId="30" fillId="4" borderId="6" xfId="0" applyFont="1" applyFill="1" applyBorder="1" applyAlignment="1">
      <x:alignment horizontal="center" vertical="center" wrapText="1"/>
    </x:xf>
    <x:xf numFmtId="0" fontId="30" fillId="4" borderId="4" xfId="0" applyFont="1" applyFill="1" applyBorder="1" applyAlignment="1">
      <x:alignment horizontal="left" vertical="center" wrapText="1"/>
    </x:xf>
    <x:xf numFmtId="0" fontId="23" fillId="5" borderId="5" xfId="0" applyFont="1" applyFill="1" applyBorder="1" applyAlignment="1">
      <x:alignment horizontal="center" vertical="center" wrapText="1"/>
    </x:xf>
    <x:xf numFmtId="0" fontId="23" fillId="5" borderId="6" xfId="0" applyFont="1" applyFill="1" applyBorder="1" applyAlignment="1">
      <x:alignment horizontal="center" vertical="center" wrapText="1"/>
    </x:xf>
    <x:xf numFmtId="0" fontId="23" fillId="5" borderId="4" xfId="0" applyFont="1" applyFill="1" applyBorder="1" applyAlignment="1">
      <x:alignment horizontal="left" vertical="center" wrapText="1"/>
    </x:xf>
    <x:xf numFmtId="0" fontId="28" fillId="5" borderId="5" xfId="0" applyFont="1" applyFill="1" applyBorder="1" applyAlignment="1">
      <x:alignment horizontal="center" vertical="center" wrapText="1"/>
    </x:xf>
    <x:xf numFmtId="164" fontId="28" fillId="2" borderId="5" xfId="0" applyNumberFormat="1" applyFont="1" applyFill="1" applyBorder="1" applyAlignment="1">
      <x:alignment horizontal="center" vertical="center" wrapText="1"/>
    </x:xf>
    <x:xf numFmtId="165" fontId="28" fillId="5" borderId="5" xfId="0" applyNumberFormat="1" applyFont="1" applyFill="1" applyBorder="1" applyAlignment="1">
      <x:alignment horizontal="center" vertical="center" wrapText="1"/>
    </x:xf>
    <x:xf numFmtId="165" fontId="28" fillId="2" borderId="5" xfId="0" applyNumberFormat="1" applyFont="1" applyFill="1" applyBorder="1" applyAlignment="1">
      <x:alignment horizontal="center" vertical="center" wrapText="1"/>
    </x:xf>
    <x:xf numFmtId="166" fontId="28" fillId="5" borderId="5" xfId="0" applyNumberFormat="1" applyFont="1" applyFill="1" applyBorder="1" applyAlignment="1">
      <x:alignment horizontal="center" vertical="center" wrapText="1"/>
    </x:xf>
    <x:xf numFmtId="167" fontId="28" fillId="2" borderId="5" xfId="0" applyNumberFormat="1" applyFont="1" applyFill="1" applyBorder="1" applyAlignment="1">
      <x:alignment horizontal="center" vertical="center" wrapText="1"/>
    </x:xf>
    <x:xf numFmtId="167" fontId="28" fillId="5" borderId="5" xfId="0" applyNumberFormat="1" applyFont="1" applyFill="1" applyBorder="1" applyAlignment="1">
      <x:alignment horizontal="center" vertical="center" wrapText="1"/>
    </x:xf>
    <x:xf numFmtId="166" fontId="28" fillId="2" borderId="5" xfId="0" applyNumberFormat="1" applyFont="1" applyFill="1" applyBorder="1" applyAlignment="1">
      <x:alignment horizontal="center" vertical="center" wrapText="1"/>
    </x:xf>
    <x:xf numFmtId="164" fontId="28" fillId="5" borderId="5" xfId="0" applyNumberFormat="1" applyFont="1" applyFill="1" applyBorder="1" applyAlignment="1">
      <x:alignment horizontal="center" vertical="center" wrapText="1"/>
    </x:xf>
    <x:xf numFmtId="168" fontId="28" fillId="5" borderId="5" xfId="0" applyNumberFormat="1" applyFont="1" applyFill="1" applyBorder="1" applyAlignment="1">
      <x:alignment horizontal="center" vertical="center" wrapText="1"/>
    </x:xf>
    <x:xf numFmtId="168" fontId="28" fillId="2" borderId="5" xfId="0" applyNumberFormat="1" applyFont="1" applyFill="1" applyBorder="1" applyAlignment="1">
      <x:alignment horizontal="center" vertical="center" wrapText="1"/>
    </x:xf>
    <x:xf numFmtId="2" fontId="28" fillId="5" borderId="5" xfId="0" applyNumberFormat="1" applyFont="1" applyFill="1" applyBorder="1" applyAlignment="1">
      <x:alignment horizontal="center" vertical="center" wrapText="1"/>
    </x:xf>
    <x:xf numFmtId="169" fontId="28" fillId="2" borderId="5" xfId="0" applyNumberFormat="1" applyFont="1" applyFill="1" applyBorder="1" applyAlignment="1">
      <x:alignment horizontal="center" vertical="center" wrapText="1"/>
    </x:xf>
    <x:xf numFmtId="170" fontId="28" fillId="5" borderId="5" xfId="0" applyNumberFormat="1" applyFont="1" applyFill="1" applyBorder="1" applyAlignment="1">
      <x:alignment horizontal="center" vertical="center" wrapText="1"/>
    </x:xf>
    <x:xf numFmtId="170" fontId="28" fillId="2" borderId="5" xfId="0" applyNumberFormat="1" applyFont="1" applyFill="1" applyBorder="1" applyAlignment="1">
      <x:alignment horizontal="center" vertical="center" wrapText="1"/>
    </x:xf>
    <x:xf numFmtId="169" fontId="28" fillId="5" borderId="5" xfId="0" applyNumberFormat="1" applyFont="1" applyFill="1" applyBorder="1" applyAlignment="1">
      <x:alignment horizontal="center" vertical="center" wrapText="1"/>
    </x:xf>
    <x:xf numFmtId="171" fontId="28" fillId="2" borderId="5" xfId="0" applyNumberFormat="1" applyFont="1" applyFill="1" applyBorder="1" applyAlignment="1">
      <x:alignment horizontal="center" vertical="center" wrapText="1"/>
    </x:xf>
    <x:xf numFmtId="2" fontId="28" fillId="2" borderId="5" xfId="0" applyNumberFormat="1" applyFont="1" applyFill="1" applyBorder="1" applyAlignment="1">
      <x:alignment horizontal="center" vertical="center" wrapText="1"/>
    </x:xf>
    <x:xf numFmtId="172" fontId="28" fillId="2" borderId="5" xfId="0" applyNumberFormat="1" applyFont="1" applyFill="1" applyBorder="1" applyAlignment="1">
      <x:alignment horizontal="center" vertical="center" wrapText="1"/>
    </x:xf>
    <x:xf numFmtId="1" fontId="28" fillId="5" borderId="5" xfId="0" applyNumberFormat="1" applyFont="1" applyFill="1" applyBorder="1" applyAlignment="1">
      <x:alignment horizontal="center" vertical="center" wrapText="1"/>
    </x:xf>
    <x:xf numFmtId="1" fontId="28" fillId="2" borderId="5" xfId="0" applyNumberFormat="1" applyFont="1" applyFill="1" applyBorder="1" applyAlignment="1">
      <x:alignment horizontal="center" vertical="center" wrapText="1"/>
    </x:xf>
    <x:xf numFmtId="173" fontId="16" fillId="5" borderId="5" xfId="0" applyNumberFormat="1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left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2" fillId="2" borderId="6" xfId="0" applyFont="1" applyFill="1" applyBorder="1" applyAlignment="1">
      <x:alignment horizontal="center" vertical="center" wrapText="1"/>
    </x:xf>
    <x:xf numFmtId="0" fontId="3" fillId="2" borderId="5" xfId="0" applyFont="1" applyFill="1" applyBorder="1" applyAlignment="1">
      <x:alignment horizontal="left" vertical="center" wrapText="1"/>
    </x:xf>
    <x:xf numFmtId="0" fontId="3" fillId="2" borderId="5" xfId="0" applyFont="1" applyFill="1" applyBorder="1" applyAlignment="1">
      <x:alignment horizontal="center" vertical="center" wrapText="1"/>
    </x:xf>
    <x:xf numFmtId="0" fontId="3" fillId="2" borderId="6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left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left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5" fillId="2" borderId="6" xfId="0" applyFont="1" applyFill="1" applyBorder="1" applyAlignment="1">
      <x:alignment horizontal="center" vertical="center" wrapText="1"/>
    </x:xf>
    <x:xf numFmtId="0" fontId="8" fillId="3" borderId="5" xfId="0" applyFont="1" applyFill="1" applyBorder="1" applyAlignment="1">
      <x:alignment horizontal="left" vertical="center" wrapText="1"/>
    </x:xf>
    <x:xf numFmtId="0" fontId="8" fillId="3" borderId="5" xfId="0" applyFont="1" applyFill="1" applyBorder="1" applyAlignment="1">
      <x:alignment horizontal="center" vertical="center" wrapText="1"/>
    </x:xf>
    <x:xf numFmtId="0" fontId="8" fillId="3" borderId="6" xfId="0" applyFont="1" applyFill="1" applyBorder="1" applyAlignment="1">
      <x:alignment horizontal="center" vertical="center" wrapText="1"/>
    </x:xf>
    <x:xf numFmtId="0" fontId="9" fillId="2" borderId="5" xfId="0" applyFont="1" applyFill="1" applyBorder="1" applyAlignment="1">
      <x:alignment horizontal="left" vertical="center" wrapText="1"/>
    </x:xf>
    <x:xf numFmtId="0" fontId="9" fillId="2" borderId="5" xfId="0" applyFont="1" applyFill="1" applyBorder="1" applyAlignment="1">
      <x:alignment horizontal="center" vertical="center" wrapText="1"/>
    </x:xf>
    <x:xf numFmtId="0" fontId="9" fillId="2" borderId="6" xfId="0" applyFont="1" applyFill="1" applyBorder="1" applyAlignment="1">
      <x:alignment horizontal="center" vertical="center" wrapText="1"/>
    </x:xf>
    <x:xf numFmtId="0" fontId="10" fillId="2" borderId="5" xfId="0" applyFont="1" applyFill="1" applyBorder="1" applyAlignment="1">
      <x:alignment horizontal="left" vertical="center" wrapText="1"/>
    </x:xf>
    <x:xf numFmtId="0" fontId="10" fillId="2" borderId="5" xfId="0" applyFont="1" applyFill="1" applyBorder="1" applyAlignment="1">
      <x:alignment horizontal="center" vertical="center" wrapText="1"/>
    </x:xf>
    <x:xf numFmtId="0" fontId="10" fillId="2" borderId="6" xfId="0" applyFont="1" applyFill="1" applyBorder="1" applyAlignment="1">
      <x:alignment horizontal="center" vertical="center" wrapText="1"/>
    </x:xf>
    <x:xf numFmtId="0" fontId="11" fillId="2" borderId="5" xfId="0" applyFont="1" applyFill="1" applyBorder="1" applyAlignment="1">
      <x:alignment horizontal="left" vertical="center" wrapText="1"/>
    </x:xf>
    <x:xf numFmtId="0" fontId="11" fillId="2" borderId="5" xfId="0" applyFont="1" applyFill="1" applyBorder="1" applyAlignment="1">
      <x:alignment horizontal="center" vertical="center" wrapText="1"/>
    </x:xf>
    <x:xf numFmtId="0" fontId="11" fillId="2" borderId="6" xfId="0" applyFont="1" applyFill="1" applyBorder="1" applyAlignment="1">
      <x:alignment horizontal="center" vertical="center" wrapText="1"/>
    </x:xf>
    <x:xf numFmtId="0" fontId="11" fillId="2" borderId="8" xfId="0" applyFont="1" applyFill="1" applyBorder="1" applyAlignment="1">
      <x:alignment horizontal="left" vertical="center" wrapText="1"/>
    </x:xf>
    <x:xf numFmtId="0" fontId="11" fillId="2" borderId="8" xfId="0" applyFont="1" applyFill="1" applyBorder="1" applyAlignment="1">
      <x:alignment horizontal="center" vertical="center" wrapText="1"/>
    </x:xf>
    <x:xf numFmtId="0" fontId="11" fillId="2" borderId="9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6" fillId="3" borderId="6" xfId="0" applyFont="1" applyFill="1" applyBorder="1" applyAlignment="1">
      <x:alignment horizontal="center" vertical="center" wrapText="1"/>
    </x:xf>
    <x:xf numFmtId="164" fontId="3" fillId="3" borderId="5" xfId="0" applyNumberFormat="1" applyFont="1" applyFill="1" applyBorder="1" applyAlignment="1">
      <x:alignment horizontal="center" vertical="center" wrapText="1"/>
    </x:xf>
    <x:xf numFmtId="0" fontId="3" fillId="3" borderId="5" xfId="0" applyFont="1" applyFill="1" applyBorder="1" applyAlignment="1">
      <x:alignment horizontal="center" vertical="center" wrapText="1"/>
    </x:xf>
    <x:xf numFmtId="165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Font="1" applyFill="1" applyBorder="1" applyAlignment="1">
      <x:alignment horizontal="center" vertical="center" wrapText="1"/>
    </x:xf>
    <x:xf numFmtId="0" fontId="7" fillId="3" borderId="5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24" fillId="2" borderId="1" xfId="0" applyFont="1" applyFill="1" applyBorder="1" applyAlignment="1">
      <x:alignment horizontal="left" vertical="center" wrapText="1"/>
    </x:xf>
    <x:xf numFmtId="0" fontId="24" fillId="2" borderId="2" xfId="0" applyFont="1" applyFill="1" applyBorder="1" applyAlignment="1">
      <x:alignment horizontal="center" vertical="center" wrapText="1"/>
    </x:xf>
    <x:xf numFmtId="0" fontId="24" fillId="2" borderId="3" xfId="0" applyFont="1" applyFill="1" applyBorder="1" applyAlignment="1">
      <x:alignment horizontal="center" vertical="center" wrapText="1"/>
    </x:xf>
    <x:xf numFmtId="0" fontId="25" fillId="2" borderId="4" xfId="0" applyFont="1" applyFill="1" applyBorder="1" applyAlignment="1">
      <x:alignment horizontal="left" vertical="center" wrapText="1"/>
    </x:xf>
    <x:xf numFmtId="0" fontId="25" fillId="2" borderId="5" xfId="0" applyFont="1" applyFill="1" applyBorder="1" applyAlignment="1">
      <x:alignment horizontal="center" vertical="center" wrapText="1"/>
    </x:xf>
    <x:xf numFmtId="0" fontId="25" fillId="2" borderId="6" xfId="0" applyFont="1" applyFill="1" applyBorder="1" applyAlignment="1">
      <x:alignment horizontal="center" vertical="center" wrapText="1"/>
    </x:xf>
    <x:xf numFmtId="0" fontId="26" fillId="2" borderId="4" xfId="0" applyFont="1" applyFill="1" applyBorder="1" applyAlignment="1">
      <x:alignment horizontal="left" vertical="center" wrapText="1"/>
    </x:xf>
    <x:xf numFmtId="0" fontId="26" fillId="2" borderId="5" xfId="0" applyFont="1" applyFill="1" applyBorder="1" applyAlignment="1">
      <x:alignment horizontal="center" vertical="center" wrapText="1"/>
    </x:xf>
    <x:xf numFmtId="0" fontId="26" fillId="2" borderId="6" xfId="0" applyFont="1" applyFill="1" applyBorder="1" applyAlignment="1">
      <x:alignment horizontal="center" vertical="center" wrapText="1"/>
    </x:xf>
    <x:xf numFmtId="0" fontId="27" fillId="2" borderId="4" xfId="0" applyFont="1" applyFill="1" applyBorder="1" applyAlignment="1">
      <x:alignment horizontal="left" vertical="center" wrapText="1"/>
    </x:xf>
    <x:xf numFmtId="0" fontId="27" fillId="2" borderId="5" xfId="0" applyFont="1" applyFill="1" applyBorder="1" applyAlignment="1">
      <x:alignment horizontal="center" vertical="center" wrapText="1"/>
    </x:xf>
    <x:xf numFmtId="0" fontId="27" fillId="2" borderId="6" xfId="0" applyFont="1" applyFill="1" applyBorder="1" applyAlignment="1">
      <x:alignment horizontal="center" vertical="center" wrapText="1"/>
    </x:xf>
    <x:xf numFmtId="0" fontId="29" fillId="3" borderId="4" xfId="0" applyFont="1" applyFill="1" applyBorder="1" applyAlignment="1">
      <x:alignment horizontal="left" vertical="center" wrapText="1"/>
    </x:xf>
    <x:xf numFmtId="0" fontId="29" fillId="3" borderId="5" xfId="0" applyFont="1" applyFill="1" applyBorder="1" applyAlignment="1">
      <x:alignment horizontal="center" vertical="center" wrapText="1"/>
    </x:xf>
    <x:xf numFmtId="0" fontId="29" fillId="3" borderId="6" xfId="0" applyFont="1" applyFill="1" applyBorder="1" applyAlignment="1">
      <x:alignment horizontal="center" vertical="center" wrapText="1"/>
    </x:xf>
    <x:xf numFmtId="0" fontId="31" fillId="2" borderId="4" xfId="0" applyFont="1" applyFill="1" applyBorder="1" applyAlignment="1">
      <x:alignment horizontal="left" vertical="center" wrapText="1"/>
    </x:xf>
    <x:xf numFmtId="0" fontId="31" fillId="2" borderId="5" xfId="0" applyFont="1" applyFill="1" applyBorder="1" applyAlignment="1">
      <x:alignment horizontal="center" vertical="center" wrapText="1"/>
    </x:xf>
    <x:xf numFmtId="0" fontId="31" fillId="2" borderId="6" xfId="0" applyFont="1" applyFill="1" applyBorder="1" applyAlignment="1">
      <x:alignment horizontal="center" vertical="center" wrapText="1"/>
    </x:xf>
    <x:xf numFmtId="0" fontId="32" fillId="2" borderId="7" xfId="0" applyFont="1" applyFill="1" applyBorder="1" applyAlignment="1">
      <x:alignment horizontal="left" vertical="center" wrapText="1"/>
    </x:xf>
    <x:xf numFmtId="0" fontId="32" fillId="2" borderId="8" xfId="0" applyFont="1" applyFill="1" applyBorder="1" applyAlignment="1">
      <x:alignment horizontal="center" vertical="center" wrapText="1"/>
    </x:xf>
    <x:xf numFmtId="0" fontId="32" fillId="2" borderId="9" xfId="0" applyFont="1" applyFill="1" applyBorder="1" applyAlignment="1">
      <x:alignment horizontal="center" vertical="center" wrapText="1"/>
    </x:xf>
    <x:xf numFmtId="0" fontId="12" fillId="4" borderId="5" xfId="0" applyFont="1" applyFill="1" applyBorder="1" applyAlignment="1">
      <x:alignment horizontal="left" vertical="center" wrapText="1"/>
    </x:xf>
    <x:xf numFmtId="0" fontId="12" fillId="4" borderId="5" xfId="0" applyFont="1" applyFill="1" applyBorder="1" applyAlignment="1">
      <x:alignment horizontal="center" vertical="center" wrapText="1"/>
    </x:xf>
    <x:xf numFmtId="0" fontId="12" fillId="4" borderId="6" xfId="0" applyFont="1" applyFill="1" applyBorder="1" applyAlignment="1">
      <x:alignment horizontal="center" vertical="center" wrapText="1"/>
    </x:xf>
    <x:xf numFmtId="0" fontId="8" fillId="2" borderId="5" xfId="0" applyFont="1" applyFill="1" applyBorder="1" applyAlignment="1">
      <x:alignment horizontal="left" vertical="center" wrapText="1"/>
    </x:xf>
    <x:xf numFmtId="0" fontId="8" fillId="2" borderId="5" xfId="0" applyFont="1" applyFill="1" applyBorder="1" applyAlignment="1">
      <x:alignment horizontal="center" vertical="center" wrapText="1"/>
    </x:xf>
    <x:xf numFmtId="0" fontId="8" fillId="2" borderId="6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left" vertical="center" wrapText="1"/>
    </x:xf>
    <x:xf numFmtId="0" fontId="1" fillId="2" borderId="5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2" borderId="8" xfId="0" applyFont="1" applyFill="1" applyBorder="1" applyAlignment="1">
      <x:alignment horizontal="left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2" borderId="9" xfId="0" applyFont="1" applyFill="1" applyBorder="1" applyAlignment="1">
      <x:alignment horizontal="center" vertical="center" wrapText="1"/>
    </x:xf>
    <x:xf numFmtId="0" fontId="7" fillId="3" borderId="5" xfId="0" applyFont="1" applyFill="1" applyBorder="1" applyAlignment="1">
      <x:alignment horizontal="left" vertical="center" wrapText="1"/>
    </x:xf>
    <x:xf numFmtId="0" fontId="15" fillId="3" borderId="5" xfId="0" applyFont="1" applyFill="1" applyBorder="1" applyAlignment="1">
      <x:alignment horizontal="left" vertical="center" wrapText="1"/>
    </x:xf>
    <x:xf numFmtId="0" fontId="15" fillId="3" borderId="5" xfId="0" applyFont="1" applyFill="1" applyBorder="1" applyAlignment="1">
      <x:alignment horizontal="center" vertical="center" wrapText="1"/>
    </x:xf>
    <x:xf numFmtId="0" fontId="15" fillId="3" borderId="6" xfId="0" applyFont="1" applyFill="1" applyBorder="1" applyAlignment="1">
      <x:alignment horizontal="center" vertical="center" wrapText="1"/>
    </x:xf>
    <x:xf numFmtId="0" fontId="14" fillId="4" borderId="5" xfId="0" applyFont="1" applyFill="1" applyBorder="1" applyAlignment="1">
      <x:alignment horizontal="left" vertical="center" wrapText="1"/>
    </x:xf>
    <x:xf numFmtId="0" fontId="14" fillId="4" borderId="5" xfId="0" applyFont="1" applyFill="1" applyBorder="1" applyAlignment="1">
      <x:alignment horizontal="center" vertical="center" wrapText="1"/>
    </x:xf>
    <x:xf numFmtId="0" fontId="14" fillId="6" borderId="5" xfId="0" applyFont="1" applyFill="1" applyBorder="1" applyAlignment="1">
      <x:alignment horizontal="left" vertical="center" wrapText="1"/>
    </x:xf>
    <x:xf numFmtId="0" fontId="14" fillId="6" borderId="5" xfId="0" applyFont="1" applyFill="1" applyBorder="1" applyAlignment="1">
      <x:alignment horizontal="center" vertical="center" wrapText="1"/>
    </x:xf>
    <x:xf numFmtId="0" fontId="14" fillId="6" borderId="6" xfId="0" applyFont="1" applyFill="1" applyBorder="1" applyAlignment="1">
      <x:alignment horizontal="center" vertical="center" wrapText="1"/>
    </x:xf>
    <x:xf numFmtId="0" fontId="1" fillId="5" borderId="5" xfId="0" applyFont="1" applyFill="1" applyBorder="1" applyAlignment="1">
      <x:alignment horizontal="center" vertical="center" wrapText="1"/>
    </x:xf>
    <x:xf numFmtId="0" fontId="1" fillId="5" borderId="6" xfId="0" applyFont="1" applyFill="1" applyBorder="1" applyAlignment="1">
      <x:alignment horizontal="center" vertical="center" wrapText="1"/>
    </x:xf>
    <x:xf numFmtId="164" fontId="16" fillId="2" borderId="5" xfId="0" applyNumberFormat="1" applyFont="1" applyFill="1" applyBorder="1" applyAlignment="1">
      <x:alignment horizontal="center" vertical="center" wrapText="1"/>
    </x:xf>
    <x:xf numFmtId="165" fontId="15" fillId="3" borderId="10" xfId="0" applyNumberFormat="1" applyFont="1" applyFill="1" applyBorder="1" applyAlignment="1">
      <x:alignment horizontal="center" vertical="center" wrapText="1"/>
    </x:xf>
    <x:xf numFmtId="0" fontId="15" fillId="3" borderId="10" xfId="0" applyFont="1" applyFill="1" applyBorder="1" applyAlignment="1">
      <x:alignment horizontal="center" vertical="center" wrapText="1"/>
    </x:xf>
    <x:xf numFmtId="165" fontId="16" fillId="2" borderId="5" xfId="0" applyNumberFormat="1" applyFont="1" applyFill="1" applyBorder="1" applyAlignment="1">
      <x:alignment horizontal="center" vertical="center" wrapText="1"/>
    </x:xf>
    <x:xf numFmtId="165" fontId="16" fillId="5" borderId="5" xfId="0" applyNumberFormat="1" applyFont="1" applyFill="1" applyBorder="1" applyAlignment="1">
      <x:alignment horizontal="center" vertical="center" wrapText="1"/>
    </x:xf>
    <x:xf numFmtId="166" fontId="15" fillId="3" borderId="10" xfId="0" applyNumberFormat="1" applyFont="1" applyFill="1" applyBorder="1" applyAlignment="1">
      <x:alignment horizontal="center" vertical="center" wrapText="1"/>
    </x:xf>
    <x:xf numFmtId="166" fontId="16" fillId="5" borderId="5" xfId="0" applyNumberFormat="1" applyFont="1" applyFill="1" applyBorder="1" applyAlignment="1">
      <x:alignment horizontal="center" vertical="center" wrapText="1"/>
    </x:xf>
    <x:xf numFmtId="167" fontId="16" fillId="2" borderId="5" xfId="0" applyNumberFormat="1" applyFont="1" applyFill="1" applyBorder="1" applyAlignment="1">
      <x:alignment horizontal="center" vertical="center" wrapText="1"/>
    </x:xf>
    <x:xf numFmtId="167" fontId="15" fillId="3" borderId="10" xfId="0" applyNumberFormat="1" applyFont="1" applyFill="1" applyBorder="1" applyAlignment="1">
      <x:alignment horizontal="center" vertical="center" wrapText="1"/>
    </x:xf>
    <x:xf numFmtId="166" fontId="16" fillId="2" borderId="5" xfId="0" applyNumberFormat="1" applyFont="1" applyFill="1" applyBorder="1" applyAlignment="1">
      <x:alignment horizontal="center" vertical="center" wrapText="1"/>
    </x:xf>
    <x:xf numFmtId="167" fontId="16" fillId="5" borderId="5" xfId="0" applyNumberFormat="1" applyFont="1" applyFill="1" applyBorder="1" applyAlignment="1">
      <x:alignment horizontal="center" vertical="center" wrapText="1"/>
    </x:xf>
    <x:xf numFmtId="0" fontId="18" fillId="2" borderId="5" xfId="0" applyFont="1" applyFill="1" applyBorder="1" applyAlignment="1">
      <x:alignment horizontal="left" vertical="center" wrapText="1"/>
    </x:xf>
    <x:xf numFmtId="0" fontId="18" fillId="2" borderId="5" xfId="0" applyFont="1" applyFill="1" applyBorder="1" applyAlignment="1">
      <x:alignment horizontal="center" vertical="center" wrapText="1"/>
    </x:xf>
    <x:xf numFmtId="0" fontId="18" fillId="2" borderId="6" xfId="0" applyFont="1" applyFill="1" applyBorder="1" applyAlignment="1">
      <x:alignment horizontal="center" vertical="center" wrapText="1"/>
    </x:xf>
    <x:xf numFmtId="0" fontId="19" fillId="2" borderId="5" xfId="0" applyFont="1" applyFill="1" applyBorder="1" applyAlignment="1">
      <x:alignment horizontal="left" vertical="center" wrapText="1"/>
    </x:xf>
    <x:xf numFmtId="0" fontId="19" fillId="2" borderId="5" xfId="0" applyFont="1" applyFill="1" applyBorder="1" applyAlignment="1">
      <x:alignment horizontal="center" vertical="center" wrapText="1"/>
    </x:xf>
    <x:xf numFmtId="0" fontId="19" fillId="2" borderId="6" xfId="0" applyFont="1" applyFill="1" applyBorder="1" applyAlignment="1">
      <x:alignment horizontal="center" vertical="center" wrapText="1"/>
    </x:xf>
    <x:xf numFmtId="0" fontId="17" fillId="4" borderId="5" xfId="0" applyFont="1" applyFill="1" applyBorder="1" applyAlignment="1">
      <x:alignment horizontal="left" vertical="center" wrapText="1"/>
    </x:xf>
    <x:xf numFmtId="0" fontId="17" fillId="4" borderId="5" xfId="0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left" vertical="center" wrapText="1"/>
    </x:xf>
    <x:xf numFmtId="165" fontId="1" fillId="2" borderId="11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3" fillId="4" borderId="11" xfId="0" applyNumberFormat="1" applyFont="1" applyFill="1" applyBorder="1" applyAlignment="1">
      <x:alignment horizontal="left" vertical="center" wrapText="1"/>
    </x:xf>
    <x:xf numFmtId="0" fontId="13" fillId="4" borderId="11" xfId="0" applyNumberFormat="1" applyFont="1" applyFill="1" applyBorder="1" applyAlignment="1">
      <x:alignment horizontal="center" vertical="center" wrapText="1"/>
    </x:xf>
    <x:xf numFmtId="0" fontId="13" fillId="4" borderId="12" xfId="0" applyNumberFormat="1" applyFont="1" applyFill="1" applyBorder="1" applyAlignment="1">
      <x:alignment horizontal="left" vertical="center" wrapText="1"/>
    </x:xf>
    <x:xf numFmtId="0" fontId="13" fillId="4" borderId="12" xfId="0" applyNumberFormat="1" applyFont="1" applyFill="1" applyBorder="1" applyAlignment="1">
      <x:alignment horizontal="center" vertical="center" wrapText="1"/>
    </x:xf>
    <x:xf numFmtId="0" fontId="1" fillId="5" borderId="11" xfId="0" applyNumberFormat="1" applyFont="1" applyFill="1" applyBorder="1" applyAlignment="1">
      <x:alignment horizontal="left"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2" fillId="5" borderId="11" xfId="0" applyNumberFormat="1" applyFont="1" applyFill="1" applyBorder="1" applyAlignment="1">
      <x:alignment horizontal="center" vertical="center" wrapText="1"/>
    </x:xf>
    <x:xf numFmtId="164" fontId="1" fillId="2" borderId="11" xfId="0" applyNumberFormat="1" applyFont="1" applyFill="1" applyBorder="1" applyAlignment="1">
      <x:alignment horizontal="center" vertical="center" wrapText="1"/>
    </x:xf>
    <x:xf numFmtId="0" fontId="14" fillId="4" borderId="11" xfId="0" applyNumberFormat="1" applyFont="1" applyFill="1" applyBorder="1" applyAlignment="1">
      <x:alignment horizontal="center" vertical="center" wrapText="1"/>
    </x:xf>
    <x:xf numFmtId="164" fontId="1" fillId="5" borderId="11" xfId="0" applyNumberFormat="1" applyFont="1" applyFill="1" applyBorder="1" applyAlignment="1">
      <x:alignment horizontal="center" vertical="center" wrapText="1"/>
    </x:xf>
    <x:xf numFmtId="165" fontId="1" fillId="5" borderId="11" xfId="0" applyNumberFormat="1" applyFont="1" applyFill="1" applyBorder="1" applyAlignment="1">
      <x:alignment horizontal="center" vertical="center" wrapText="1"/>
    </x:xf>
    <x:xf numFmtId="164" fontId="16" fillId="5" borderId="11" xfId="0" applyNumberFormat="1" applyFont="1" applyFill="1" applyBorder="1" applyAlignment="1">
      <x:alignment horizontal="center" vertical="center" wrapText="1"/>
    </x:xf>
    <x:xf numFmtId="165" fontId="16" fillId="2" borderId="11" xfId="0" applyNumberFormat="1" applyFont="1" applyFill="1" applyBorder="1" applyAlignment="1">
      <x:alignment horizontal="center" vertical="center" wrapText="1"/>
    </x:xf>
    <x:xf numFmtId="165" fontId="16" fillId="5" borderId="11" xfId="0" applyNumberFormat="1" applyFont="1" applyFill="1" applyBorder="1" applyAlignment="1">
      <x:alignment horizontal="center" vertical="center" wrapText="1"/>
    </x:xf>
    <x:xf numFmtId="166" fontId="1" fillId="2" borderId="11" xfId="0" applyNumberFormat="1" applyFont="1" applyFill="1" applyBorder="1" applyAlignment="1">
      <x:alignment horizontal="center" vertical="center" wrapText="1"/>
    </x:xf>
    <x:xf numFmtId="167" fontId="1" fillId="2" borderId="11" xfId="0" applyNumberFormat="1" applyFont="1" applyFill="1" applyBorder="1" applyAlignment="1">
      <x:alignment horizontal="center" vertical="center" wrapText="1"/>
    </x:xf>
    <x:xf numFmtId="0" fontId="15" fillId="3" borderId="12" xfId="0" applyNumberFormat="1" applyFont="1" applyFill="1" applyBorder="1" applyAlignment="1">
      <x:alignment horizontal="left" vertical="center" wrapText="1"/>
    </x:xf>
    <x:xf numFmtId="165" fontId="15" fillId="3" borderId="12" xfId="0" applyNumberFormat="1" applyFont="1" applyFill="1" applyBorder="1" applyAlignment="1">
      <x:alignment horizontal="center" vertical="center" wrapText="1"/>
    </x:xf>
    <x:xf numFmtId="0" fontId="15" fillId="3" borderId="12" xfId="0" applyNumberFormat="1" applyFont="1" applyFill="1" applyBorder="1" applyAlignment="1">
      <x:alignment horizontal="center" vertical="center" wrapText="1"/>
    </x:xf>
    <x:xf numFmtId="166" fontId="15" fillId="3" borderId="12" xfId="0" applyNumberFormat="1" applyFont="1" applyFill="1" applyBorder="1" applyAlignment="1">
      <x:alignment horizontal="center" vertical="center" wrapText="1"/>
    </x:xf>
    <x:xf numFmtId="166" fontId="1" fillId="5" borderId="11" xfId="0" applyNumberFormat="1" applyFont="1" applyFill="1" applyBorder="1" applyAlignment="1">
      <x:alignment horizontal="center" vertical="center" wrapText="1"/>
    </x:xf>
    <x:xf numFmtId="167" fontId="15" fillId="3" borderId="12" xfId="0" applyNumberFormat="1" applyFont="1" applyFill="1" applyBorder="1" applyAlignment="1">
      <x:alignment horizontal="center" vertical="center" wrapText="1"/>
    </x:xf>
    <x:xf numFmtId="167" fontId="1" fillId="5" borderId="11" xfId="0" applyNumberFormat="1" applyFont="1" applyFill="1" applyBorder="1" applyAlignment="1">
      <x:alignment horizontal="center" vertical="center" wrapText="1"/>
    </x:xf>
    <x:xf numFmtId="164" fontId="16" fillId="2" borderId="11" xfId="0" applyNumberFormat="1" applyFont="1" applyFill="1" applyBorder="1" applyAlignment="1">
      <x:alignment horizontal="center" vertical="center" wrapText="1"/>
    </x:xf>
    <x:xf numFmtId="166" fontId="16" fillId="5" borderId="11" xfId="0" applyNumberFormat="1" applyFont="1" applyFill="1" applyBorder="1" applyAlignment="1">
      <x:alignment horizontal="center" vertical="center" wrapText="1"/>
    </x:xf>
    <x:xf numFmtId="167" fontId="16" fillId="2" borderId="11" xfId="0" applyNumberFormat="1" applyFont="1" applyFill="1" applyBorder="1" applyAlignment="1">
      <x:alignment horizontal="center" vertical="center" wrapText="1"/>
    </x:xf>
    <x:xf numFmtId="166" fontId="16" fillId="2" borderId="11" xfId="0" applyNumberFormat="1" applyFont="1" applyFill="1" applyBorder="1" applyAlignment="1">
      <x:alignment horizontal="center" vertical="center" wrapText="1"/>
    </x:xf>
    <x:xf numFmtId="167" fontId="16" fillId="5" borderId="11" xfId="0" applyNumberFormat="1" applyFont="1" applyFill="1" applyBorder="1" applyAlignment="1">
      <x:alignment horizontal="center" vertical="center" wrapText="1"/>
    </x:xf>
    <x:xf numFmtId="0" fontId="17" fillId="4" borderId="11" xfId="0" applyNumberFormat="1" applyFont="1" applyFill="1" applyBorder="1" applyAlignment="1">
      <x:alignment horizontal="center" vertical="center" wrapText="1"/>
    </x:xf>
    <x:xf numFmtId="168" fontId="1" fillId="2" borderId="11" xfId="0" applyNumberFormat="1" applyFont="1" applyFill="1" applyBorder="1" applyAlignment="1">
      <x:alignment horizontal="center" vertical="center" wrapText="1"/>
    </x:xf>
    <x:xf numFmtId="171" fontId="1" fillId="2" borderId="11" xfId="0" applyNumberFormat="1" applyFont="1" applyFill="1" applyBorder="1" applyAlignment="1">
      <x:alignment horizontal="center" vertical="center" wrapText="1"/>
    </x:xf>
    <x:xf numFmtId="168" fontId="1" fillId="5" borderId="11" xfId="0" applyNumberFormat="1" applyFont="1" applyFill="1" applyBorder="1" applyAlignment="1">
      <x:alignment horizontal="center" vertical="center" wrapText="1"/>
    </x:xf>
    <x:xf numFmtId="164" fontId="2" fillId="7" borderId="11" xfId="0" applyNumberFormat="1" applyFont="1" applyFill="1" applyBorder="1" applyAlignment="1">
      <x:alignment horizontal="center" vertical="center" wrapText="1"/>
    </x:xf>
    <x:xf numFmtId="168" fontId="2" fillId="7" borderId="11" xfId="0" applyNumberFormat="1" applyFont="1" applyFill="1" applyBorder="1" applyAlignment="1">
      <x:alignment horizontal="center" vertical="center" wrapText="1"/>
    </x:xf>
    <x:xf numFmtId="165" fontId="2" fillId="7" borderId="11" xfId="0" applyNumberFormat="1" applyFont="1" applyFill="1" applyBorder="1" applyAlignment="1">
      <x:alignment horizontal="center" vertical="center" wrapText="1"/>
    </x:xf>
    <x:xf numFmtId="166" fontId="2" fillId="7" borderId="11" xfId="0" applyNumberFormat="1" applyFont="1" applyFill="1" applyBorder="1" applyAlignment="1">
      <x:alignment horizontal="center" vertical="center" wrapText="1"/>
    </x:xf>
    <x:xf numFmtId="2" fontId="2" fillId="7" borderId="11" xfId="0" applyNumberFormat="1" applyFont="1" applyFill="1" applyBorder="1" applyAlignment="1">
      <x:alignment horizontal="center" vertical="center" wrapText="1"/>
    </x:xf>
    <x:xf numFmtId="169" fontId="2" fillId="7" borderId="11" xfId="0" applyNumberFormat="1" applyFont="1" applyFill="1" applyBorder="1" applyAlignment="1">
      <x:alignment horizontal="center" vertical="center" wrapText="1"/>
    </x:xf>
    <x:xf numFmtId="170" fontId="2" fillId="7" borderId="11" xfId="0" applyNumberFormat="1" applyFont="1" applyFill="1" applyBorder="1" applyAlignment="1">
      <x:alignment horizontal="center" vertical="center" wrapText="1"/>
    </x:xf>
    <x:xf numFmtId="171" fontId="2" fillId="7" borderId="11" xfId="0" applyNumberFormat="1" applyFont="1" applyFill="1" applyBorder="1" applyAlignment="1">
      <x:alignment horizontal="center" vertical="center" wrapText="1"/>
    </x:xf>
    <x:xf numFmtId="168" fontId="20" fillId="7" borderId="11" xfId="0" applyNumberFormat="1" applyFont="1" applyFill="1" applyBorder="1" applyAlignment="1">
      <x:alignment horizontal="center" vertical="center" wrapText="1"/>
    </x:xf>
    <x:xf numFmtId="168" fontId="16" fillId="2" borderId="11" xfId="0" applyNumberFormat="1" applyFont="1" applyFill="1" applyBorder="1" applyAlignment="1">
      <x:alignment horizontal="center" vertical="center" wrapText="1"/>
    </x:xf>
    <x:xf numFmtId="168" fontId="16" fillId="5" borderId="11" xfId="0" applyNumberFormat="1" applyFont="1" applyFill="1" applyBorder="1" applyAlignment="1">
      <x:alignment horizontal="center" vertical="center" wrapText="1"/>
    </x:xf>
    <x:xf numFmtId="2" fontId="16" fillId="5" borderId="11" xfId="0" applyNumberFormat="1" applyFont="1" applyFill="1" applyBorder="1" applyAlignment="1">
      <x:alignment horizontal="center" vertical="center" wrapText="1"/>
    </x:xf>
    <x:xf numFmtId="169" fontId="16" fillId="2" borderId="11" xfId="0" applyNumberFormat="1" applyFont="1" applyFill="1" applyBorder="1" applyAlignment="1">
      <x:alignment horizontal="center" vertical="center" wrapText="1"/>
    </x:xf>
    <x:xf numFmtId="172" fontId="1" fillId="2" borderId="11" xfId="0" applyNumberFormat="1" applyFont="1" applyFill="1" applyBorder="1" applyAlignment="1">
      <x:alignment horizontal="center" vertical="center" wrapText="1"/>
    </x:xf>
    <x:xf numFmtId="170" fontId="16" fillId="5" borderId="11" xfId="0" applyNumberFormat="1" applyFont="1" applyFill="1" applyBorder="1" applyAlignment="1">
      <x:alignment horizontal="center" vertical="center" wrapText="1"/>
    </x:xf>
    <x:xf numFmtId="1" fontId="1" fillId="2" borderId="11" xfId="0" applyNumberFormat="1" applyFont="1" applyFill="1" applyBorder="1" applyAlignment="1">
      <x:alignment horizontal="left" vertical="center" wrapText="1"/>
    </x:xf>
    <x:xf numFmtId="1" fontId="1" fillId="5" borderId="11" xfId="0" applyNumberFormat="1" applyFont="1" applyFill="1" applyBorder="1" applyAlignment="1">
      <x:alignment horizontal="left" vertical="center" wrapText="1"/>
    </x:xf>
    <x:xf numFmtId="1" fontId="13" fillId="4" borderId="12" xfId="0" applyNumberFormat="1" applyFont="1" applyFill="1" applyBorder="1" applyAlignment="1">
      <x:alignment horizontal="center" vertical="center" wrapText="1"/>
    </x:xf>
    <x:xf numFmtId="172" fontId="15" fillId="3" borderId="12" xfId="0" applyNumberFormat="1" applyFont="1" applyFill="1" applyBorder="1" applyAlignment="1">
      <x:alignment horizontal="center" vertical="center" wrapText="1"/>
    </x:xf>
    <x:xf numFmtId="170" fontId="16" fillId="2" borderId="11" xfId="0" applyNumberFormat="1" applyFont="1" applyFill="1" applyBorder="1" applyAlignment="1">
      <x:alignment horizontal="center" vertical="center" wrapText="1"/>
    </x:xf>
    <x:xf numFmtId="166" fontId="1" fillId="2" borderId="11" xfId="0" applyNumberFormat="1" applyFont="1" applyFill="1" applyBorder="1" applyAlignment="1">
      <x:alignment horizontal="left" vertical="center" wrapText="1"/>
    </x:xf>
    <x:xf numFmtId="2" fontId="1" fillId="2" borderId="11" xfId="0" applyNumberFormat="1" applyFont="1" applyFill="1" applyBorder="1" applyAlignment="1">
      <x:alignment horizontal="left" vertical="center" wrapText="1"/>
    </x:xf>
    <x:xf numFmtId="171" fontId="1" fillId="5" borderId="11" xfId="0" applyNumberFormat="1" applyFont="1" applyFill="1" applyBorder="1" applyAlignment="1">
      <x:alignment horizontal="center" vertical="center" wrapText="1"/>
    </x:xf>
    <x:xf numFmtId="166" fontId="1" fillId="5" borderId="11" xfId="0" applyNumberFormat="1" applyFont="1" applyFill="1" applyBorder="1" applyAlignment="1">
      <x:alignment horizontal="left" vertical="center" wrapText="1"/>
    </x:xf>
    <x:xf numFmtId="2" fontId="1" fillId="5" borderId="11" xfId="0" applyNumberFormat="1" applyFont="1" applyFill="1" applyBorder="1" applyAlignment="1">
      <x:alignment horizontal="left" vertical="center" wrapText="1"/>
    </x:xf>
    <x:xf numFmtId="171" fontId="16" fillId="5" borderId="11" xfId="0" applyNumberFormat="1" applyFont="1" applyFill="1" applyBorder="1" applyAlignment="1">
      <x:alignment horizontal="center" vertical="center" wrapText="1"/>
    </x:xf>
    <x:xf numFmtId="2" fontId="16" fillId="2" borderId="11" xfId="0" applyNumberFormat="1" applyFont="1" applyFill="1" applyBorder="1" applyAlignment="1">
      <x:alignment horizontal="center" vertical="center" wrapText="1"/>
    </x:xf>
    <x:xf numFmtId="169" fontId="16" fillId="5" borderId="11" xfId="0" applyNumberFormat="1" applyFont="1" applyFill="1" applyBorder="1" applyAlignment="1">
      <x:alignment horizontal="center" vertical="center" wrapText="1"/>
    </x:xf>
    <x:xf numFmtId="171" fontId="16" fillId="2" borderId="11" xfId="0" applyNumberFormat="1" applyFont="1" applyFill="1" applyBorder="1" applyAlignment="1">
      <x:alignment horizontal="center" vertical="center" wrapText="1"/>
    </x:xf>
    <x:xf numFmtId="170" fontId="1" fillId="2" borderId="11" xfId="0" applyNumberFormat="1" applyFont="1" applyFill="1" applyBorder="1" applyAlignment="1">
      <x:alignment horizontal="left" vertical="center" wrapText="1"/>
    </x:xf>
    <x:xf numFmtId="165" fontId="1" fillId="2" borderId="11" xfId="0" applyNumberFormat="1" applyFont="1" applyFill="1" applyBorder="1" applyAlignment="1">
      <x:alignment horizontal="left" vertical="center" wrapText="1"/>
    </x:xf>
    <x:xf numFmtId="170" fontId="1" fillId="5" borderId="11" xfId="0" applyNumberFormat="1" applyFont="1" applyFill="1" applyBorder="1" applyAlignment="1">
      <x:alignment horizontal="left" vertical="center" wrapText="1"/>
    </x:xf>
    <x:xf numFmtId="170" fontId="15" fillId="3" borderId="12" xfId="0" applyNumberFormat="1" applyFont="1" applyFill="1" applyBorder="1" applyAlignment="1">
      <x:alignment horizontal="left" vertical="center" wrapText="1"/>
    </x:xf>
    <x:xf numFmtId="170" fontId="13" fillId="4" borderId="12" xfId="0" applyNumberFormat="1" applyFont="1" applyFill="1" applyBorder="1" applyAlignment="1">
      <x:alignment horizontal="center" vertical="center" wrapText="1"/>
    </x:xf>
    <x:xf numFmtId="165" fontId="1" fillId="5" borderId="11" xfId="0" applyNumberFormat="1" applyFont="1" applyFill="1" applyBorder="1" applyAlignment="1">
      <x:alignment horizontal="left" vertical="center" wrapText="1"/>
    </x:xf>
    <x:xf numFmtId="165" fontId="15" fillId="3" borderId="12" xfId="0" applyNumberFormat="1" applyFont="1" applyFill="1" applyBorder="1" applyAlignment="1">
      <x:alignment horizontal="left" vertical="center" wrapText="1"/>
    </x:xf>
    <x:xf numFmtId="1" fontId="15" fillId="3" borderId="12" xfId="0" applyNumberFormat="1" applyFont="1" applyFill="1" applyBorder="1" applyAlignment="1">
      <x:alignment horizontal="left" vertical="center" wrapText="1"/>
    </x:xf>
    <x:xf numFmtId="166" fontId="15" fillId="3" borderId="12" xfId="0" applyNumberFormat="1" applyFont="1" applyFill="1" applyBorder="1" applyAlignment="1">
      <x:alignment horizontal="left" vertical="center" wrapText="1"/>
    </x:xf>
    <x:xf numFmtId="166" fontId="16" fillId="8" borderId="11" xfId="0" applyNumberFormat="1" applyFont="1" applyFill="1" applyBorder="1" applyAlignment="1">
      <x:alignment horizontal="center" vertical="center" wrapText="1"/>
    </x:xf>
    <x:xf numFmtId="166" fontId="21" fillId="9" borderId="11" xfId="0" applyNumberFormat="1" applyFont="1" applyFill="1" applyBorder="1" applyAlignment="1">
      <x:alignment horizontal="center" vertical="center" wrapText="1"/>
    </x:xf>
    <x:xf numFmtId="166" fontId="16" fillId="10" borderId="11" xfId="0" applyNumberFormat="1" applyFont="1" applyFill="1" applyBorder="1" applyAlignment="1">
      <x:alignment horizontal="center" vertical="center" wrapText="1"/>
    </x:xf>
    <x:xf numFmtId="166" fontId="21" fillId="8" borderId="11" xfId="0" applyNumberFormat="1" applyFont="1" applyFill="1" applyBorder="1" applyAlignment="1">
      <x:alignment horizontal="center" vertical="center" wrapText="1"/>
    </x:xf>
    <x:xf numFmtId="166" fontId="16" fillId="9" borderId="11" xfId="0" applyNumberFormat="1" applyFont="1" applyFill="1" applyBorder="1" applyAlignment="1">
      <x:alignment horizontal="center" vertical="center" wrapText="1"/>
    </x:xf>
    <x:xf numFmtId="166" fontId="15" fillId="5" borderId="12" xfId="0" applyNumberFormat="1" applyFont="1" applyFill="1" applyBorder="1" applyAlignment="1">
      <x:alignment horizontal="center" vertical="center" wrapText="1"/>
    </x:xf>
    <x:xf numFmtId="166" fontId="15" fillId="8" borderId="12" xfId="0" applyNumberFormat="1" applyFont="1" applyFill="1" applyBorder="1" applyAlignment="1">
      <x:alignment horizontal="center" vertical="center" wrapText="1"/>
    </x:xf>
    <x:xf numFmtId="166" fontId="15" fillId="9" borderId="12" xfId="0" applyNumberFormat="1" applyFont="1" applyFill="1" applyBorder="1" applyAlignment="1">
      <x:alignment horizontal="center" vertical="center" wrapText="1"/>
    </x:xf>
    <x:xf numFmtId="172" fontId="16" fillId="5" borderId="11" xfId="0" applyNumberFormat="1" applyFont="1" applyFill="1" applyBorder="1" applyAlignment="1">
      <x:alignment horizontal="center" vertical="center" wrapText="1"/>
    </x:xf>
    <x:xf numFmtId="172" fontId="16" fillId="2" borderId="11" xfId="0" applyNumberFormat="1" applyFont="1" applyFill="1" applyBorder="1" applyAlignment="1">
      <x:alignment horizontal="center" vertical="center" wrapText="1"/>
    </x:xf>
    <x:xf numFmtId="164" fontId="15" fillId="3" borderId="12" xfId="0" applyNumberFormat="1" applyFont="1" applyFill="1" applyBorder="1" applyAlignment="1">
      <x:alignment horizontal="center" vertical="center" wrapText="1"/>
    </x:xf>
    <x:xf numFmtId="1" fontId="22" fillId="2" borderId="11" xfId="0" applyNumberFormat="1" applyFont="1" applyFill="1" applyBorder="1" applyAlignment="1">
      <x:alignment horizontal="left" vertical="center" wrapText="1"/>
    </x:xf>
    <x:xf numFmtId="1" fontId="22" fillId="5" borderId="11" xfId="0" applyNumberFormat="1" applyFont="1" applyFill="1" applyBorder="1" applyAlignment="1">
      <x:alignment horizontal="left" vertical="center" wrapText="1"/>
    </x:xf>
    <x:xf numFmtId="165" fontId="22" fillId="5" borderId="11" xfId="0" applyNumberFormat="1" applyFont="1" applyFill="1" applyBorder="1" applyAlignment="1">
      <x:alignment horizontal="center" vertical="center" wrapText="1"/>
    </x:xf>
    <x:xf numFmtId="166" fontId="22" fillId="5" borderId="11" xfId="0" applyNumberFormat="1" applyFont="1" applyFill="1" applyBorder="1" applyAlignment="1">
      <x:alignment horizontal="left" vertical="center" wrapText="1"/>
    </x:xf>
    <x:xf numFmtId="166" fontId="22" fillId="2" borderId="11" xfId="0" applyNumberFormat="1" applyFont="1" applyFill="1" applyBorder="1" applyAlignment="1">
      <x:alignment horizontal="left" vertical="center" wrapText="1"/>
    </x:xf>
    <x:xf numFmtId="1" fontId="22" fillId="5" borderId="11" xfId="0" applyNumberFormat="1" applyFont="1" applyFill="1" applyBorder="1" applyAlignment="1">
      <x:alignment horizontal="center" vertical="center" wrapText="1"/>
    </x:xf>
    <x:xf numFmtId="1" fontId="22" fillId="2" borderId="11" xfId="0" applyNumberFormat="1" applyFont="1" applyFill="1" applyBorder="1" applyAlignment="1">
      <x:alignment horizontal="center" vertical="center" wrapText="1"/>
    </x:xf>
    <x:xf numFmtId="166" fontId="22" fillId="2" borderId="11" xfId="0" applyNumberFormat="1" applyFont="1" applyFill="1" applyBorder="1" applyAlignment="1">
      <x:alignment horizontal="center" vertical="center" wrapText="1"/>
    </x:xf>
    <x:xf numFmtId="166" fontId="22" fillId="5" borderId="11" xfId="0" applyNumberFormat="1" applyFont="1" applyFill="1" applyBorder="1" applyAlignment="1">
      <x:alignment horizontal="center" vertical="center" wrapText="1"/>
    </x:xf>
    <x:xf numFmtId="167" fontId="22" fillId="2" borderId="11" xfId="0" applyNumberFormat="1" applyFont="1" applyFill="1" applyBorder="1" applyAlignment="1">
      <x:alignment horizontal="center" vertical="center" wrapText="1"/>
    </x:xf>
    <x:xf numFmtId="1" fontId="16" fillId="5" borderId="11" xfId="0" applyNumberFormat="1" applyFont="1" applyFill="1" applyBorder="1" applyAlignment="1">
      <x:alignment horizontal="center" vertical="center" wrapText="1"/>
    </x:xf>
    <x:xf numFmtId="1" fontId="16" fillId="2" borderId="11" xfId="0" applyNumberFormat="1" applyFont="1" applyFill="1" applyBorder="1" applyAlignment="1">
      <x:alignment horizontal="center" vertical="center" wrapText="1"/>
    </x:xf>
    <x:xf numFmtId="0" fontId="16" fillId="5" borderId="11" xfId="0" applyNumberFormat="1" applyFont="1" applyFill="1" applyBorder="1" applyAlignment="1">
      <x:alignment horizontal="center" vertical="center" wrapText="1"/>
    </x:xf>
    <x:xf numFmtId="0" fontId="16" fillId="2" borderId="11" xfId="0" applyNumberFormat="1" applyFont="1" applyFill="1" applyBorder="1" applyAlignment="1">
      <x:alignment horizontal="center" vertical="center" wrapText="1"/>
    </x:xf>
    <x:xf numFmtId="0" fontId="17" fillId="4" borderId="11" xfId="0" applyNumberFormat="1" applyFont="1" applyFill="1" applyBorder="1" applyAlignment="1">
      <x:alignment horizontal="left" vertical="center" wrapText="1"/>
    </x:xf>
    <x:xf numFmtId="173" fontId="16" fillId="5" borderId="11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left" vertical="center" wrapText="1"/>
    </x:xf>
    <x:xf numFmtId="0" fontId="3" fillId="2" borderId="11" xfId="0" applyNumberFormat="1" applyFont="1" applyFill="1" applyBorder="1" applyAlignment="1">
      <x:alignment horizontal="left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left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left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8" fillId="3" borderId="11" xfId="0" applyNumberFormat="1" applyFont="1" applyFill="1" applyBorder="1" applyAlignment="1">
      <x:alignment horizontal="left" vertical="center" wrapText="1"/>
    </x:xf>
    <x:xf numFmtId="0" fontId="8" fillId="3" borderId="11" xfId="0" applyNumberFormat="1" applyFont="1" applyFill="1" applyBorder="1" applyAlignment="1">
      <x:alignment horizontal="center" vertical="center" wrapText="1"/>
    </x:xf>
    <x:xf numFmtId="0" fontId="9" fillId="2" borderId="11" xfId="0" applyNumberFormat="1" applyFont="1" applyFill="1" applyBorder="1" applyAlignment="1">
      <x:alignment horizontal="left" vertical="center" wrapText="1"/>
    </x:xf>
    <x:xf numFmtId="0" fontId="9" fillId="2" borderId="11" xfId="0" applyNumberFormat="1" applyFont="1" applyFill="1" applyBorder="1" applyAlignment="1">
      <x:alignment horizontal="center" vertical="center" wrapText="1"/>
    </x:xf>
    <x:xf numFmtId="0" fontId="10" fillId="2" borderId="11" xfId="0" applyNumberFormat="1" applyFont="1" applyFill="1" applyBorder="1" applyAlignment="1">
      <x:alignment horizontal="left" vertical="center" wrapText="1"/>
    </x:xf>
    <x:xf numFmtId="0" fontId="10" fillId="2" borderId="11" xfId="0" applyNumberFormat="1" applyFont="1" applyFill="1" applyBorder="1" applyAlignment="1">
      <x:alignment horizontal="center" vertical="center" wrapText="1"/>
    </x:xf>
    <x:xf numFmtId="0" fontId="11" fillId="2" borderId="11" xfId="0" applyNumberFormat="1" applyFont="1" applyFill="1" applyBorder="1" applyAlignment="1">
      <x:alignment horizontal="left" vertical="center" wrapText="1"/>
    </x:xf>
    <x:xf numFmtId="0" fontId="11" fillId="2" borderId="11" xfId="0" applyNumberFormat="1" applyFont="1" applyFill="1" applyBorder="1" applyAlignment="1">
      <x:alignment horizontal="center" vertical="center" wrapText="1"/>
    </x:xf>
    <x:xf numFmtId="0" fontId="6" fillId="3" borderId="11" xfId="0" applyNumberFormat="1" applyFont="1" applyFill="1" applyBorder="1" applyAlignment="1">
      <x:alignment horizontal="center" vertical="center" wrapText="1"/>
    </x:xf>
    <x:xf numFmtId="164" fontId="3" fillId="3" borderId="11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165" fontId="3" fillId="3" borderId="11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24" fillId="2" borderId="11" xfId="0" applyNumberFormat="1" applyFont="1" applyFill="1" applyBorder="1" applyAlignment="1">
      <x:alignment horizontal="left" vertical="center" wrapText="1"/>
    </x:xf>
    <x:xf numFmtId="0" fontId="24" fillId="2" borderId="11" xfId="0" applyNumberFormat="1" applyFont="1" applyFill="1" applyBorder="1" applyAlignment="1">
      <x:alignment horizontal="center" vertical="center" wrapText="1"/>
    </x:xf>
    <x:xf numFmtId="0" fontId="25" fillId="2" borderId="11" xfId="0" applyNumberFormat="1" applyFont="1" applyFill="1" applyBorder="1" applyAlignment="1">
      <x:alignment horizontal="left" vertical="center" wrapText="1"/>
    </x:xf>
    <x:xf numFmtId="0" fontId="25" fillId="2" borderId="11" xfId="0" applyNumberFormat="1" applyFont="1" applyFill="1" applyBorder="1" applyAlignment="1">
      <x:alignment horizontal="center" vertical="center" wrapText="1"/>
    </x:xf>
    <x:xf numFmtId="0" fontId="26" fillId="2" borderId="11" xfId="0" applyNumberFormat="1" applyFont="1" applyFill="1" applyBorder="1" applyAlignment="1">
      <x:alignment horizontal="left" vertical="center" wrapText="1"/>
    </x:xf>
    <x:xf numFmtId="0" fontId="26" fillId="2" borderId="11" xfId="0" applyNumberFormat="1" applyFont="1" applyFill="1" applyBorder="1" applyAlignment="1">
      <x:alignment horizontal="center" vertical="center" wrapText="1"/>
    </x:xf>
    <x:xf numFmtId="0" fontId="27" fillId="2" borderId="11" xfId="0" applyNumberFormat="1" applyFont="1" applyFill="1" applyBorder="1" applyAlignment="1">
      <x:alignment horizontal="left" vertical="center" wrapText="1"/>
    </x:xf>
    <x:xf numFmtId="0" fontId="27" fillId="2" borderId="11" xfId="0" applyNumberFormat="1" applyFont="1" applyFill="1" applyBorder="1" applyAlignment="1">
      <x:alignment horizontal="center" vertical="center" wrapText="1"/>
    </x:xf>
    <x:xf numFmtId="0" fontId="15" fillId="3" borderId="11" xfId="0" applyNumberFormat="1" applyFont="1" applyFill="1" applyBorder="1" applyAlignment="1">
      <x:alignment horizontal="left" vertical="center" wrapText="1"/>
    </x:xf>
    <x:xf numFmtId="0" fontId="15" fillId="3" borderId="11" xfId="0" applyNumberFormat="1" applyFont="1" applyFill="1" applyBorder="1" applyAlignment="1">
      <x:alignment horizontal="center" vertical="center" wrapText="1"/>
    </x:xf>
    <x:xf numFmtId="0" fontId="31" fillId="2" borderId="11" xfId="0" applyNumberFormat="1" applyFont="1" applyFill="1" applyBorder="1" applyAlignment="1">
      <x:alignment horizontal="left" vertical="center" wrapText="1"/>
    </x:xf>
    <x:xf numFmtId="0" fontId="31" fillId="2" borderId="11" xfId="0" applyNumberFormat="1" applyFont="1" applyFill="1" applyBorder="1" applyAlignment="1">
      <x:alignment horizontal="center" vertical="center" wrapText="1"/>
    </x:xf>
    <x:xf numFmtId="0" fontId="32" fillId="2" borderId="11" xfId="0" applyNumberFormat="1" applyFont="1" applyFill="1" applyBorder="1" applyAlignment="1">
      <x:alignment horizontal="left" vertical="center" wrapText="1"/>
    </x:xf>
    <x:xf numFmtId="0" fontId="32" fillId="2" borderId="11" xfId="0" applyNumberFormat="1" applyFont="1" applyFill="1" applyBorder="1" applyAlignment="1">
      <x:alignment horizontal="center" vertical="center" wrapText="1"/>
    </x:xf>
    <x:xf numFmtId="0" fontId="12" fillId="4" borderId="11" xfId="0" applyNumberFormat="1" applyFont="1" applyFill="1" applyBorder="1" applyAlignment="1">
      <x:alignment horizontal="left" vertical="center" wrapText="1"/>
    </x:xf>
    <x:xf numFmtId="0" fontId="12" fillId="4" borderId="11" xfId="0" applyNumberFormat="1" applyFont="1" applyFill="1" applyBorder="1" applyAlignment="1">
      <x:alignment horizontal="center" vertical="center" wrapText="1"/>
    </x:xf>
    <x:xf numFmtId="0" fontId="8" fillId="2" borderId="11" xfId="0" applyNumberFormat="1" applyFont="1" applyFill="1" applyBorder="1" applyAlignment="1">
      <x:alignment horizontal="left" vertical="center" wrapText="1"/>
    </x:xf>
    <x:xf numFmtId="0" fontId="8" fillId="2" borderId="11" xfId="0" applyNumberFormat="1" applyFont="1" applyFill="1" applyBorder="1" applyAlignment="1">
      <x:alignment horizontal="center" vertical="center" wrapText="1"/>
    </x:xf>
    <x:xf numFmtId="0" fontId="7" fillId="2" borderId="11" xfId="0" applyNumberFormat="1" applyFont="1" applyFill="1" applyBorder="1" applyAlignment="1">
      <x:alignment horizontal="left" vertical="center" wrapText="1"/>
    </x:xf>
    <x:xf numFmtId="0" fontId="7" fillId="3" borderId="11" xfId="0" applyNumberFormat="1" applyFont="1" applyFill="1" applyBorder="1" applyAlignment="1">
      <x:alignment horizontal="left" vertical="center" wrapText="1"/>
    </x:xf>
    <x:xf numFmtId="0" fontId="14" fillId="4" borderId="11" xfId="0" applyNumberFormat="1" applyFont="1" applyFill="1" applyBorder="1" applyAlignment="1">
      <x:alignment horizontal="left" vertical="center" wrapText="1"/>
    </x:xf>
    <x:xf numFmtId="0" fontId="14" fillId="6" borderId="11" xfId="0" applyNumberFormat="1" applyFont="1" applyFill="1" applyBorder="1" applyAlignment="1">
      <x:alignment horizontal="left" vertical="center" wrapText="1"/>
    </x:xf>
    <x:xf numFmtId="0" fontId="14" fillId="6" borderId="11" xfId="0" applyNumberFormat="1" applyFont="1" applyFill="1" applyBorder="1" applyAlignment="1">
      <x:alignment horizontal="center" vertical="center" wrapText="1"/>
    </x:xf>
    <x:xf numFmtId="0" fontId="18" fillId="2" borderId="11" xfId="0" applyNumberFormat="1" applyFont="1" applyFill="1" applyBorder="1" applyAlignment="1">
      <x:alignment horizontal="left" vertical="center" wrapText="1"/>
    </x:xf>
    <x:xf numFmtId="0" fontId="18" fillId="2" borderId="11" xfId="0" applyNumberFormat="1" applyFont="1" applyFill="1" applyBorder="1" applyAlignment="1">
      <x:alignment horizontal="center" vertical="center" wrapText="1"/>
    </x:xf>
    <x:xf numFmtId="0" fontId="19" fillId="2" borderId="11" xfId="0" applyNumberFormat="1" applyFont="1" applyFill="1" applyBorder="1" applyAlignment="1">
      <x:alignment horizontal="left" vertical="center" wrapText="1"/>
    </x:xf>
    <x:xf numFmtId="0" fontId="19" fillId="2" borderId="11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/>
    <x:xf numFmtId="0" fontId="33" fillId="0" borderId="0" xfId="0" applyNumberFormat="1" applyFont="1" applyFill="1" applyBorder="1" applyAlignment="1">
      <x:alignment wrapText="1"/>
    </x:xf>
    <x:xf numFmtId="0" fontId="33" fillId="0" borderId="0" xfId="0" applyNumberFormat="1" applyFont="1" applyFill="1" applyBorder="1" applyAlignment="1">
      <x:alignment vertical="center" wrapText="1"/>
    </x:xf>
    <x:xf numFmtId="0" fontId="33" fillId="0" borderId="11" xfId="0" applyNumberFormat="1" applyFont="1" applyFill="1" applyBorder="1"/>
    <x:xf numFmtId="0" fontId="33" fillId="0" borderId="11" xfId="0" applyNumberFormat="1" applyFont="1" applyFill="1" applyBorder="1" applyAlignment="1">
      <x:alignment wrapText="1"/>
    </x:xf>
    <x:xf numFmtId="0" fontId="33" fillId="0" borderId="11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 applyAlignment="1">
      <x:alignment horizontal="center" vertical="center" wrapText="1"/>
    </x:xf>
    <x:xf numFmtId="0" fontId="33" fillId="0" borderId="11" xfId="0" applyNumberFormat="1" applyFont="1" applyFill="1" applyBorder="1" applyAlignment="1">
      <x:alignment horizontal="center" vertical="center" wrapText="1"/>
    </x:xf>
    <x:xf numFmtId="0" fontId="33" fillId="11" borderId="0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vertical="center" wrapText="1"/>
    </x:xf>
    <x:xf numFmtId="0" fontId="33" fillId="11" borderId="11" xfId="0" applyNumberFormat="1" applyFont="1" applyFill="1" applyBorder="1" applyAlignment="1">
      <x:alignment vertical="center" wrapText="1"/>
    </x:xf>
    <x:xf numFmtId="0" fontId="14" fillId="11" borderId="11" xfId="0" applyNumberFormat="1" applyFont="1" applyFill="1" applyBorder="1" applyAlignment="1">
      <x:alignment vertical="center" wrapText="1"/>
    </x:xf>
    <x:xf numFmtId="0" fontId="33" fillId="11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33" fillId="11" borderId="11" xfId="0" applyNumberFormat="1" applyFont="1" applyFill="1" applyBorder="1" applyAlignment="1">
      <x:alignment horizontal="center" vertical="center" wrapText="1"/>
    </x:xf>
    <x:xf numFmtId="0" fontId="14" fillId="11" borderId="11" xfId="0" applyNumberFormat="1" applyFont="1" applyFill="1" applyBorder="1" applyAlignment="1">
      <x:alignment horizontal="center" vertical="center" wrapText="1"/>
    </x:xf>
    <x:xf numFmtId="200" fontId="33" fillId="0" borderId="0" xfId="0" applyNumberFormat="1" applyFont="1" applyFill="1" applyBorder="1" applyAlignment="1">
      <x:alignment horizontal="center" vertical="center" wrapText="1"/>
    </x:xf>
    <x:xf numFmtId="200" fontId="33" fillId="0" borderId="11" xfId="0" applyNumberFormat="1" applyFont="1" applyFill="1" applyBorder="1" applyAlignment="1">
      <x:alignment horizontal="center" vertical="center" wrapText="1"/>
    </x:xf>
    <x:xf numFmtId="0" fontId="33" fillId="12" borderId="0" xfId="0" applyNumberFormat="1" applyFont="1" applyFill="1" applyBorder="1" applyAlignment="1">
      <x:alignment vertical="center" wrapText="1"/>
    </x:xf>
    <x:xf numFmtId="0" fontId="33" fillId="12" borderId="0" xfId="0" applyNumberFormat="1" applyFont="1" applyFill="1" applyBorder="1" applyAlignment="1">
      <x:alignment horizontal="center" vertical="center" wrapText="1"/>
    </x:xf>
    <x:xf numFmtId="0" fontId="34" fillId="12" borderId="0" xfId="0" applyNumberFormat="1" applyFont="1" applyFill="1" applyBorder="1" applyAlignment="1">
      <x:alignment vertical="center" wrapText="1"/>
    </x:xf>
    <x:xf numFmtId="0" fontId="34" fillId="12" borderId="0" xfId="0" applyNumberFormat="1" applyFont="1" applyFill="1" applyBorder="1" applyAlignment="1">
      <x:alignment horizontal="center" vertical="center" wrapText="1"/>
    </x:xf>
    <x:xf numFmtId="0" fontId="33" fillId="12" borderId="11" xfId="0" applyNumberFormat="1" applyFont="1" applyFill="1" applyBorder="1" applyAlignment="1">
      <x:alignment vertical="center" wrapText="1"/>
    </x:xf>
    <x:xf numFmtId="0" fontId="33" fillId="12" borderId="11" xfId="0" applyNumberFormat="1" applyFont="1" applyFill="1" applyBorder="1" applyAlignment="1">
      <x:alignment horizontal="center" vertical="center" wrapText="1"/>
    </x:xf>
    <x:xf numFmtId="0" fontId="34" fillId="12" borderId="11" xfId="0" applyNumberFormat="1" applyFont="1" applyFill="1" applyBorder="1" applyAlignment="1">
      <x:alignment vertical="center" wrapText="1"/>
    </x:xf>
    <x:xf numFmtId="0" fontId="34" fillId="12" borderId="11" xfId="0" applyNumberFormat="1" applyFont="1" applyFill="1" applyBorder="1" applyAlignment="1">
      <x:alignment horizontal="center" vertical="center" wrapText="1"/>
    </x:xf>
    <x:xf numFmtId="200" fontId="34" fillId="12" borderId="0" xfId="0" applyNumberFormat="1" applyFont="1" applyFill="1" applyBorder="1" applyAlignment="1">
      <x:alignment horizontal="center" vertical="center" wrapText="1"/>
    </x:xf>
    <x:xf numFmtId="200" fontId="34" fillId="12" borderId="11" xfId="0" applyNumberFormat="1" applyFont="1" applyFill="1" applyBorder="1" applyAlignment="1">
      <x:alignment horizontal="center" vertical="center" wrapText="1"/>
    </x:xf>
    <x:xf numFmtId="201" fontId="34" fillId="12" borderId="0" xfId="0" applyNumberFormat="1" applyFont="1" applyFill="1" applyBorder="1" applyAlignment="1">
      <x:alignment horizontal="center" vertical="center" wrapText="1"/>
    </x:xf>
    <x:xf numFmtId="201" fontId="34" fillId="12" borderId="11" xfId="0" applyNumberFormat="1" applyFont="1" applyFill="1" applyBorder="1" applyAlignment="1">
      <x:alignment horizontal="center" vertical="center" wrapText="1"/>
    </x:xf>
    <x:xf numFmtId="201" fontId="33" fillId="0" borderId="0" xfId="0" applyNumberFormat="1" applyFont="1" applyFill="1" applyBorder="1" applyAlignment="1">
      <x:alignment horizontal="center" vertical="center" wrapText="1"/>
    </x:xf>
    <x:xf numFmtId="201" fontId="33" fillId="0" borderId="11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 applyAlignment="1">
      <x:alignment vertical="center" wrapText="1"/>
    </x:xf>
    <x:xf numFmtId="0" fontId="35" fillId="0" borderId="11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/>
    <x:xf numFmtId="0" fontId="36" fillId="0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center" wrapText="1"/>
    </x:xf>
    <x:xf numFmtId="0" fontId="36" fillId="0" borderId="11" xfId="0" applyNumberFormat="1" applyFont="1" applyFill="1" applyBorder="1"/>
    <x:xf numFmtId="0" fontId="36" fillId="0" borderId="11" xfId="0" applyNumberFormat="1" applyFont="1" applyFill="1" applyBorder="1" applyAlignment="1">
      <x:alignment wrapText="1"/>
    </x:xf>
    <x:xf numFmtId="0" fontId="36" fillId="0" borderId="11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 applyAlignment="1">
      <x:alignment horizontal="center" vertical="center" wrapText="1"/>
    </x:xf>
    <x:xf numFmtId="0" fontId="36" fillId="0" borderId="1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7" fillId="11" borderId="0" xfId="0" applyNumberFormat="1" applyFont="1" applyFill="1" applyBorder="1"/>
    <x:xf numFmtId="0" fontId="0" fillId="11" borderId="11" xfId="0" applyNumberFormat="1" applyFont="1" applyFill="1" applyBorder="1"/>
    <x:xf numFmtId="0" fontId="37" fillId="11" borderId="11" xfId="0" applyNumberFormat="1" applyFont="1" applyFill="1" applyBorder="1"/>
    <x:xf numFmtId="0" fontId="36" fillId="11" borderId="0" xfId="0" applyNumberFormat="1" applyFont="1" applyFill="1" applyBorder="1" applyAlignment="1">
      <x:alignment vertical="center" wrapText="1"/>
    </x:xf>
    <x:xf numFmtId="0" fontId="36" fillId="11" borderId="11" xfId="0" applyNumberFormat="1" applyFont="1" applyFill="1" applyBorder="1" applyAlignment="1">
      <x:alignment vertical="center" wrapText="1"/>
    </x:xf>
    <x:xf numFmtId="165" fontId="16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165" fontId="16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170" fontId="16" fillId="5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165" fontId="16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20" fillId="12" borderId="0" xfId="0" applyNumberFormat="1" applyFont="1" applyFill="1" applyBorder="1" applyAlignment="1">
      <x:alignment horizontal="left" vertical="center" wrapText="1"/>
    </x:xf>
    <x:xf numFmtId="165" fontId="21" fillId="12" borderId="0" xfId="0" applyNumberFormat="1" applyFont="1" applyFill="1" applyBorder="1" applyAlignment="1">
      <x:alignment horizontal="center" vertical="center" wrapText="1"/>
    </x:xf>
    <x:xf numFmtId="0" fontId="20" fillId="12" borderId="0" xfId="0" applyNumberFormat="1" applyFont="1" applyFill="1" applyBorder="1" applyAlignment="1">
      <x:alignment horizontal="center" vertical="center" wrapText="1"/>
    </x:xf>
    <x:xf numFmtId="0" fontId="1" fillId="12" borderId="11" xfId="0" applyNumberFormat="1" applyFont="1" applyFill="1" applyBorder="1" applyAlignment="1">
      <x:alignment horizontal="left" vertical="center" wrapText="1"/>
    </x:xf>
    <x:xf numFmtId="165" fontId="16" fillId="12" borderId="11" xfId="0" applyNumberFormat="1" applyFont="1" applyFill="1" applyBorder="1" applyAlignment="1">
      <x:alignment horizontal="center" vertical="center" wrapText="1"/>
    </x:xf>
    <x:xf numFmtId="0" fontId="1" fillId="12" borderId="11" xfId="0" applyNumberFormat="1" applyFont="1" applyFill="1" applyBorder="1" applyAlignment="1">
      <x:alignment horizontal="center" vertical="center" wrapText="1"/>
    </x:xf>
    <x:xf numFmtId="0" fontId="20" fillId="12" borderId="11" xfId="0" applyNumberFormat="1" applyFont="1" applyFill="1" applyBorder="1" applyAlignment="1">
      <x:alignment horizontal="left" vertical="center" wrapText="1"/>
    </x:xf>
    <x:xf numFmtId="165" fontId="21" fillId="12" borderId="11" xfId="0" applyNumberFormat="1" applyFont="1" applyFill="1" applyBorder="1" applyAlignment="1">
      <x:alignment horizontal="center" vertical="center" wrapText="1"/>
    </x:xf>
    <x:xf numFmtId="0" fontId="20" fillId="12" borderId="11" xfId="0" applyNumberFormat="1" applyFont="1" applyFill="1" applyBorder="1" applyAlignment="1">
      <x:alignment horizontal="center" vertical="center" wrapText="1"/>
    </x:xf>
    <x:xf numFmtId="201" fontId="16" fillId="2" borderId="0" xfId="0" applyNumberFormat="1" applyFont="1" applyFill="1" applyBorder="1" applyAlignment="1">
      <x:alignment horizontal="center" vertical="center" wrapText="1"/>
    </x:xf>
    <x:xf numFmtId="201" fontId="16" fillId="2" borderId="11" xfId="0" applyNumberFormat="1" applyFont="1" applyFill="1" applyBorder="1" applyAlignment="1">
      <x:alignment horizontal="center" vertical="center" wrapText="1"/>
    </x:xf>
    <x:xf numFmtId="201" fontId="21" fillId="12" borderId="0" xfId="0" applyNumberFormat="1" applyFont="1" applyFill="1" applyBorder="1" applyAlignment="1">
      <x:alignment horizontal="center" vertical="center" wrapText="1"/>
    </x:xf>
    <x:xf numFmtId="201" fontId="21" fillId="12" borderId="11" xfId="0" applyNumberFormat="1" applyFont="1" applyFill="1" applyBorder="1" applyAlignment="1">
      <x:alignment horizontal="center" vertical="center" wrapText="1"/>
    </x:xf>
    <x:xf numFmtId="201" fontId="16" fillId="5" borderId="0" xfId="0" applyNumberFormat="1" applyFont="1" applyFill="1" applyBorder="1" applyAlignment="1">
      <x:alignment horizontal="center" vertical="center" wrapText="1"/>
    </x:xf>
    <x:xf numFmtId="201" fontId="16" fillId="5" borderId="11" xfId="0" applyNumberFormat="1" applyFont="1" applyFill="1" applyBorder="1" applyAlignment="1">
      <x:alignment horizontal="center" vertical="center" wrapText="1"/>
    </x:xf>
    <x:xf numFmtId="200" fontId="16" fillId="5" borderId="0" xfId="0" applyNumberFormat="1" applyFont="1" applyFill="1" applyBorder="1" applyAlignment="1">
      <x:alignment horizontal="center" vertical="center" wrapText="1"/>
    </x:xf>
    <x:xf numFmtId="200" fontId="16" fillId="5" borderId="11" xfId="0" applyNumberFormat="1" applyFont="1" applyFill="1" applyBorder="1" applyAlignment="1">
      <x:alignment horizontal="center" vertical="center" wrapText="1"/>
    </x:xf>
    <x:xf numFmtId="200" fontId="16" fillId="2" borderId="0" xfId="0" applyNumberFormat="1" applyFont="1" applyFill="1" applyBorder="1" applyAlignment="1">
      <x:alignment horizontal="center" vertical="center" wrapText="1"/>
    </x:xf>
    <x:xf numFmtId="200" fontId="16" fillId="2" borderId="11" xfId="0" applyNumberFormat="1" applyFont="1" applyFill="1" applyBorder="1" applyAlignment="1">
      <x:alignment horizontal="center" vertical="center" wrapText="1"/>
    </x:xf>
    <x:xf numFmtId="200" fontId="21" fillId="12" borderId="0" xfId="0" applyNumberFormat="1" applyFont="1" applyFill="1" applyBorder="1" applyAlignment="1">
      <x:alignment horizontal="center" vertical="center" wrapText="1"/>
    </x:xf>
    <x:xf numFmtId="200" fontId="21" fillId="12" borderId="11" xfId="0" applyNumberFormat="1" applyFont="1" applyFill="1" applyBorder="1" applyAlignment="1">
      <x:alignment horizontal="center" vertical="center" wrapText="1"/>
    </x:xf>
    <x:xf numFmtId="202" fontId="16" fillId="5" borderId="0" xfId="0" applyNumberFormat="1" applyFont="1" applyFill="1" applyBorder="1" applyAlignment="1">
      <x:alignment horizontal="center" vertical="center" wrapText="1"/>
    </x:xf>
    <x:xf numFmtId="202" fontId="16" fillId="5" borderId="11" xfId="0" applyNumberFormat="1" applyFont="1" applyFill="1" applyBorder="1" applyAlignment="1">
      <x:alignment horizontal="center" vertical="center" wrapText="1"/>
    </x:xf>
    <x:xf numFmtId="203" fontId="16" fillId="2" borderId="0" xfId="0" applyNumberFormat="1" applyFont="1" applyFill="1" applyBorder="1" applyAlignment="1">
      <x:alignment horizontal="center" vertical="center" wrapText="1"/>
    </x:xf>
    <x:xf numFmtId="203" fontId="16" fillId="2" borderId="11" xfId="0" applyNumberFormat="1" applyFont="1" applyFill="1" applyBorder="1" applyAlignment="1">
      <x:alignment horizontal="center" vertical="center" wrapText="1"/>
    </x:xf>
    <x:xf numFmtId="0" fontId="24" fillId="13" borderId="0" xfId="0" applyNumberFormat="1" applyFont="1" applyFill="1" applyBorder="1" applyAlignment="1">
      <x:alignment horizontal="left" vertical="center" wrapText="1"/>
    </x:xf>
    <x:xf numFmtId="0" fontId="24" fillId="13" borderId="0" xfId="0" applyNumberFormat="1" applyFont="1" applyFill="1" applyBorder="1" applyAlignment="1">
      <x:alignment horizontal="center" vertical="center" wrapText="1"/>
    </x:xf>
    <x:xf numFmtId="0" fontId="25" fillId="13" borderId="0" xfId="0" applyNumberFormat="1" applyFont="1" applyFill="1" applyBorder="1" applyAlignment="1">
      <x:alignment horizontal="left" vertical="center" wrapText="1"/>
    </x:xf>
    <x:xf numFmtId="0" fontId="25" fillId="13" borderId="0" xfId="0" applyNumberFormat="1" applyFont="1" applyFill="1" applyBorder="1" applyAlignment="1">
      <x:alignment horizontal="center" vertical="center" wrapText="1"/>
    </x:xf>
    <x:xf numFmtId="0" fontId="26" fillId="13" borderId="0" xfId="0" applyNumberFormat="1" applyFont="1" applyFill="1" applyBorder="1" applyAlignment="1">
      <x:alignment horizontal="left" vertical="center" wrapText="1"/>
    </x:xf>
    <x:xf numFmtId="0" fontId="26" fillId="13" borderId="0" xfId="0" applyNumberFormat="1" applyFont="1" applyFill="1" applyBorder="1" applyAlignment="1">
      <x:alignment horizontal="center" vertical="center" wrapText="1"/>
    </x:xf>
    <x:xf numFmtId="0" fontId="27" fillId="13" borderId="0" xfId="0" applyNumberFormat="1" applyFont="1" applyFill="1" applyBorder="1" applyAlignment="1">
      <x:alignment horizontal="left" vertical="center" wrapText="1"/>
    </x:xf>
    <x:xf numFmtId="0" fontId="27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16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 applyAlignment="1">
      <x:alignment horizontal="left" vertical="center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17" fillId="13" borderId="0" xfId="0" applyNumberFormat="1" applyFont="1" applyFill="1" applyBorder="1" applyAlignment="1">
      <x:alignment horizontal="left" vertical="center" wrapText="1"/>
    </x:xf>
    <x:xf numFmtId="0" fontId="17" fillId="13" borderId="0" xfId="0" applyNumberFormat="1" applyFont="1" applyFill="1" applyBorder="1" applyAlignment="1">
      <x:alignment horizontal="center" vertical="center" wrapText="1"/>
    </x:xf>
    <x:xf numFmtId="164" fontId="16" fillId="13" borderId="0" xfId="0" applyNumberFormat="1" applyFont="1" applyFill="1" applyBorder="1" applyAlignment="1">
      <x:alignment horizontal="center" vertical="center" wrapText="1"/>
    </x:xf>
    <x:xf numFmtId="165" fontId="16" fillId="13" borderId="0" xfId="0" applyNumberFormat="1" applyFont="1" applyFill="1" applyBorder="1" applyAlignment="1">
      <x:alignment horizontal="center" vertical="center" wrapText="1"/>
    </x:xf>
    <x:xf numFmtId="166" fontId="16" fillId="13" borderId="0" xfId="0" applyNumberFormat="1" applyFont="1" applyFill="1" applyBorder="1" applyAlignment="1">
      <x:alignment horizontal="center" vertical="center" wrapText="1"/>
    </x:xf>
    <x:xf numFmtId="0" fontId="31" fillId="13" borderId="0" xfId="0" applyNumberFormat="1" applyFont="1" applyFill="1" applyBorder="1" applyAlignment="1">
      <x:alignment horizontal="left" vertical="center" wrapText="1"/>
    </x:xf>
    <x:xf numFmtId="0" fontId="31" fillId="13" borderId="0" xfId="0" applyNumberFormat="1" applyFont="1" applyFill="1" applyBorder="1" applyAlignment="1">
      <x:alignment horizontal="center" vertical="center" wrapText="1"/>
    </x:xf>
    <x:xf numFmtId="0" fontId="32" fillId="13" borderId="0" xfId="0" applyNumberFormat="1" applyFont="1" applyFill="1" applyBorder="1" applyAlignment="1">
      <x:alignment horizontal="left" vertical="center" wrapText="1"/>
    </x:xf>
    <x:xf numFmtId="0" fontId="32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8" fillId="13" borderId="0" xfId="0" applyNumberFormat="1" applyFont="1" applyFill="1" applyBorder="1" applyAlignment="1">
      <x:alignment horizontal="left" vertical="center" wrapText="1"/>
    </x:xf>
    <x:xf numFmtId="0" fontId="38" fillId="13" borderId="0" xfId="0" applyNumberFormat="1" applyFont="1" applyFill="1" applyBorder="1" applyAlignment="1">
      <x:alignment horizontal="center" vertical="center" wrapText="1"/>
    </x:xf>
    <x:xf numFmtId="0" fontId="39" fillId="13" borderId="0" xfId="0" applyNumberFormat="1" applyFont="1" applyFill="1" applyBorder="1" applyAlignment="1">
      <x:alignment horizontal="left" vertical="center" wrapText="1"/>
    </x:xf>
    <x:xf numFmtId="0" fontId="39" fillId="13" borderId="0" xfId="0" applyNumberFormat="1" applyFont="1" applyFill="1" applyBorder="1" applyAlignment="1">
      <x:alignment horizontal="center" vertical="center" wrapText="1"/>
    </x:xf>
    <x:xf numFmtId="164" fontId="39" fillId="13" borderId="0" xfId="0" applyNumberFormat="1" applyFont="1" applyFill="1" applyBorder="1" applyAlignment="1">
      <x:alignment horizontal="center" vertical="center" wrapText="1"/>
    </x:xf>
    <x:xf numFmtId="165" fontId="39" fillId="13" borderId="0" xfId="0" applyNumberFormat="1" applyFont="1" applyFill="1" applyBorder="1" applyAlignment="1">
      <x:alignment horizontal="center" vertical="center" wrapText="1"/>
    </x:xf>
    <x:xf numFmtId="166" fontId="39" fillId="13" borderId="0" xfId="0" applyNumberFormat="1" applyFont="1" applyFill="1" applyBorder="1" applyAlignment="1">
      <x:alignment horizontal="center" vertical="center" wrapText="1"/>
    </x:xf>
    <x:xf numFmtId="0" fontId="39" fillId="13" borderId="0" xfId="0" applyNumberFormat="1" applyFont="1" applyFill="1" applyBorder="1"/>
    <x:xf numFmtId="0" fontId="39" fillId="13" borderId="0" xfId="0" applyNumberFormat="1" applyFont="1" applyFill="1" applyBorder="1" applyAlignment="1">
      <x:alignment wrapText="1"/>
    </x:xf>
    <x:xf numFmtId="164" fontId="39" fillId="13" borderId="0" xfId="0" applyNumberFormat="1" applyFont="1" applyFill="1" applyBorder="1" applyAlignment="1">
      <x:alignment horizontal="left" vertical="center" wrapText="1"/>
    </x:xf>
    <x:xf numFmtId="165" fontId="39" fillId="13" borderId="0" xfId="0" applyNumberFormat="1" applyFont="1" applyFill="1" applyBorder="1" applyAlignment="1">
      <x:alignment horizontal="left" vertical="center" wrapText="1"/>
    </x:xf>
    <x:xf numFmtId="166" fontId="39" fillId="13" borderId="0" xfId="0" applyNumberFormat="1" applyFont="1" applyFill="1" applyBorder="1" applyAlignment="1">
      <x:alignment horizontal="left" vertical="center" wrapText="1"/>
    </x:xf>
    <x:xf numFmtId="0" fontId="39" fillId="13" borderId="0" xfId="0" applyNumberFormat="1" applyFont="1" applyFill="1" applyBorder="1" applyAlignment="1">
      <x:alignment horizontal="left" wrapText="1"/>
    </x:xf>
    <x:xf numFmtId="0" fontId="24" fillId="13" borderId="11" xfId="0" applyNumberFormat="1" applyFont="1" applyFill="1" applyBorder="1" applyAlignment="1">
      <x:alignment horizontal="left" vertical="center" wrapText="1"/>
    </x:xf>
    <x:xf numFmtId="0" fontId="24" fillId="13" borderId="11" xfId="0" applyNumberFormat="1" applyFont="1" applyFill="1" applyBorder="1" applyAlignment="1">
      <x:alignment horizontal="center" vertical="center" wrapText="1"/>
    </x:xf>
    <x:xf numFmtId="0" fontId="25" fillId="13" borderId="11" xfId="0" applyNumberFormat="1" applyFont="1" applyFill="1" applyBorder="1" applyAlignment="1">
      <x:alignment horizontal="left" vertical="center" wrapText="1"/>
    </x:xf>
    <x:xf numFmtId="0" fontId="25" fillId="13" borderId="11" xfId="0" applyNumberFormat="1" applyFont="1" applyFill="1" applyBorder="1" applyAlignment="1">
      <x:alignment horizontal="center" vertical="center" wrapText="1"/>
    </x:xf>
    <x:xf numFmtId="0" fontId="26" fillId="13" borderId="11" xfId="0" applyNumberFormat="1" applyFont="1" applyFill="1" applyBorder="1" applyAlignment="1">
      <x:alignment horizontal="left" vertical="center" wrapText="1"/>
    </x:xf>
    <x:xf numFmtId="0" fontId="26" fillId="13" borderId="11" xfId="0" applyNumberFormat="1" applyFont="1" applyFill="1" applyBorder="1" applyAlignment="1">
      <x:alignment horizontal="center" vertical="center" wrapText="1"/>
    </x:xf>
    <x:xf numFmtId="0" fontId="27" fillId="13" borderId="11" xfId="0" applyNumberFormat="1" applyFont="1" applyFill="1" applyBorder="1" applyAlignment="1">
      <x:alignment horizontal="left" vertical="center" wrapText="1"/>
    </x:xf>
    <x:xf numFmtId="0" fontId="27" fillId="13" borderId="11" xfId="0" applyNumberFormat="1" applyFont="1" applyFill="1" applyBorder="1" applyAlignment="1">
      <x:alignment horizontal="center" vertical="center" wrapText="1"/>
    </x:xf>
    <x:xf numFmtId="0" fontId="1" fillId="13" borderId="11" xfId="0" applyNumberFormat="1" applyFont="1" applyFill="1" applyBorder="1" applyAlignment="1">
      <x:alignment horizontal="left" vertical="center" wrapText="1"/>
    </x:xf>
    <x:xf numFmtId="0" fontId="16" fillId="13" borderId="11" xfId="0" applyNumberFormat="1" applyFont="1" applyFill="1" applyBorder="1" applyAlignment="1">
      <x:alignment horizontal="center" vertical="center" wrapText="1"/>
    </x:xf>
    <x:xf numFmtId="0" fontId="1" fillId="13" borderId="11" xfId="0" applyNumberFormat="1" applyFont="1" applyFill="1" applyBorder="1" applyAlignment="1">
      <x:alignment horizontal="center" vertical="center" wrapText="1"/>
    </x:xf>
    <x:xf numFmtId="0" fontId="15" fillId="13" borderId="11" xfId="0" applyNumberFormat="1" applyFont="1" applyFill="1" applyBorder="1" applyAlignment="1">
      <x:alignment horizontal="left" vertical="center" wrapText="1"/>
    </x:xf>
    <x:xf numFmtId="0" fontId="15" fillId="13" borderId="11" xfId="0" applyNumberFormat="1" applyFont="1" applyFill="1" applyBorder="1" applyAlignment="1">
      <x:alignment horizontal="center" vertical="center" wrapText="1"/>
    </x:xf>
    <x:xf numFmtId="0" fontId="17" fillId="13" borderId="11" xfId="0" applyNumberFormat="1" applyFont="1" applyFill="1" applyBorder="1" applyAlignment="1">
      <x:alignment horizontal="left" vertical="center" wrapText="1"/>
    </x:xf>
    <x:xf numFmtId="0" fontId="17" fillId="13" borderId="11" xfId="0" applyNumberFormat="1" applyFont="1" applyFill="1" applyBorder="1" applyAlignment="1">
      <x:alignment horizontal="center" vertical="center" wrapText="1"/>
    </x:xf>
    <x:xf numFmtId="164" fontId="16" fillId="13" borderId="11" xfId="0" applyNumberFormat="1" applyFont="1" applyFill="1" applyBorder="1" applyAlignment="1">
      <x:alignment horizontal="center" vertical="center" wrapText="1"/>
    </x:xf>
    <x:xf numFmtId="165" fontId="16" fillId="13" borderId="11" xfId="0" applyNumberFormat="1" applyFont="1" applyFill="1" applyBorder="1" applyAlignment="1">
      <x:alignment horizontal="center" vertical="center" wrapText="1"/>
    </x:xf>
    <x:xf numFmtId="166" fontId="16" fillId="13" borderId="11" xfId="0" applyNumberFormat="1" applyFont="1" applyFill="1" applyBorder="1" applyAlignment="1">
      <x:alignment horizontal="center" vertical="center" wrapText="1"/>
    </x:xf>
    <x:xf numFmtId="0" fontId="31" fillId="13" borderId="11" xfId="0" applyNumberFormat="1" applyFont="1" applyFill="1" applyBorder="1" applyAlignment="1">
      <x:alignment horizontal="left" vertical="center" wrapText="1"/>
    </x:xf>
    <x:xf numFmtId="0" fontId="31" fillId="13" borderId="11" xfId="0" applyNumberFormat="1" applyFont="1" applyFill="1" applyBorder="1" applyAlignment="1">
      <x:alignment horizontal="center" vertical="center" wrapText="1"/>
    </x:xf>
    <x:xf numFmtId="0" fontId="32" fillId="13" borderId="11" xfId="0" applyNumberFormat="1" applyFont="1" applyFill="1" applyBorder="1" applyAlignment="1">
      <x:alignment horizontal="left" vertical="center" wrapText="1"/>
    </x:xf>
    <x:xf numFmtId="0" fontId="32" fillId="13" borderId="11" xfId="0" applyNumberFormat="1" applyFont="1" applyFill="1" applyBorder="1" applyAlignment="1">
      <x:alignment horizontal="center" vertical="center" wrapText="1"/>
    </x:xf>
    <x:xf numFmtId="0" fontId="0" fillId="13" borderId="11" xfId="0" applyNumberFormat="1" applyFont="1" applyFill="1" applyBorder="1"/>
    <x:xf numFmtId="0" fontId="38" fillId="13" borderId="11" xfId="0" applyNumberFormat="1" applyFont="1" applyFill="1" applyBorder="1" applyAlignment="1">
      <x:alignment horizontal="left" vertical="center" wrapText="1"/>
    </x:xf>
    <x:xf numFmtId="0" fontId="38" fillId="13" borderId="11" xfId="0" applyNumberFormat="1" applyFont="1" applyFill="1" applyBorder="1" applyAlignment="1">
      <x:alignment horizontal="center" vertical="center" wrapText="1"/>
    </x:xf>
    <x:xf numFmtId="0" fontId="39" fillId="13" borderId="11" xfId="0" applyNumberFormat="1" applyFont="1" applyFill="1" applyBorder="1" applyAlignment="1">
      <x:alignment horizontal="left" vertical="center" wrapText="1"/>
    </x:xf>
    <x:xf numFmtId="0" fontId="39" fillId="13" borderId="11" xfId="0" applyNumberFormat="1" applyFont="1" applyFill="1" applyBorder="1" applyAlignment="1">
      <x:alignment horizontal="center" vertical="center" wrapText="1"/>
    </x:xf>
    <x:xf numFmtId="164" fontId="39" fillId="13" borderId="11" xfId="0" applyNumberFormat="1" applyFont="1" applyFill="1" applyBorder="1" applyAlignment="1">
      <x:alignment horizontal="center" vertical="center" wrapText="1"/>
    </x:xf>
    <x:xf numFmtId="165" fontId="39" fillId="13" borderId="11" xfId="0" applyNumberFormat="1" applyFont="1" applyFill="1" applyBorder="1" applyAlignment="1">
      <x:alignment horizontal="center" vertical="center" wrapText="1"/>
    </x:xf>
    <x:xf numFmtId="166" fontId="39" fillId="13" borderId="11" xfId="0" applyNumberFormat="1" applyFont="1" applyFill="1" applyBorder="1" applyAlignment="1">
      <x:alignment horizontal="center" vertical="center" wrapText="1"/>
    </x:xf>
    <x:xf numFmtId="0" fontId="39" fillId="13" borderId="11" xfId="0" applyNumberFormat="1" applyFont="1" applyFill="1" applyBorder="1"/>
    <x:xf numFmtId="0" fontId="39" fillId="13" borderId="11" xfId="0" applyNumberFormat="1" applyFont="1" applyFill="1" applyBorder="1" applyAlignment="1">
      <x:alignment wrapText="1"/>
    </x:xf>
    <x:xf numFmtId="164" fontId="39" fillId="13" borderId="11" xfId="0" applyNumberFormat="1" applyFont="1" applyFill="1" applyBorder="1" applyAlignment="1">
      <x:alignment horizontal="left" vertical="center" wrapText="1"/>
    </x:xf>
    <x:xf numFmtId="165" fontId="39" fillId="13" borderId="11" xfId="0" applyNumberFormat="1" applyFont="1" applyFill="1" applyBorder="1" applyAlignment="1">
      <x:alignment horizontal="left" vertical="center" wrapText="1"/>
    </x:xf>
    <x:xf numFmtId="166" fontId="39" fillId="13" borderId="11" xfId="0" applyNumberFormat="1" applyFont="1" applyFill="1" applyBorder="1" applyAlignment="1">
      <x:alignment horizontal="left" vertical="center" wrapText="1"/>
    </x:xf>
    <x:xf numFmtId="0" fontId="39" fillId="13" borderId="1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164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165" fontId="3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left" vertic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40" fillId="13" borderId="0" xfId="0" applyNumberFormat="1" applyFont="1" applyFill="1" applyBorder="1" applyAlignment="1">
      <x:alignment horizontal="left" vertical="center" wrapText="1"/>
    </x:xf>
    <x:xf numFmtId="0" fontId="40" fillId="13" borderId="11" xfId="0" applyNumberFormat="1" applyFont="1" applyFill="1" applyBorder="1" applyAlignment="1">
      <x:alignment horizontal="left" vertical="center" wrapText="1"/>
    </x:xf>
    <x:xf numFmtId="0" fontId="41" fillId="13" borderId="0" xfId="0" applyNumberFormat="1" applyFont="1" applyFill="1" applyBorder="1" applyAlignment="1">
      <x:alignment horizontal="left" vertical="center" wrapText="1"/>
    </x:xf>
    <x:xf numFmtId="0" fontId="41" fillId="13" borderId="11" xfId="0" applyNumberFormat="1" applyFont="1" applyFill="1" applyBorder="1" applyAlignment="1">
      <x:alignment horizontal="left" vertical="center" wrapText="1"/>
    </x:xf>
    <x:xf numFmtId="0" fontId="42" fillId="13" borderId="0" xfId="0" applyNumberFormat="1" applyFont="1" applyFill="1" applyBorder="1" applyAlignment="1">
      <x:alignment horizontal="left" vertical="center" wrapText="1"/>
    </x:xf>
    <x:xf numFmtId="0" fontId="43" fillId="13" borderId="0" xfId="0" applyNumberFormat="1" applyFont="1" applyFill="1" applyBorder="1" applyAlignment="1">
      <x:alignment horizontal="left" vertical="center" wrapText="1"/>
    </x:xf>
    <x:xf numFmtId="0" fontId="42" fillId="13" borderId="11" xfId="0" applyNumberFormat="1" applyFont="1" applyFill="1" applyBorder="1" applyAlignment="1">
      <x:alignment horizontal="left" vertical="center" wrapText="1"/>
    </x:xf>
    <x:xf numFmtId="0" fontId="43" fillId="13" borderId="11" xfId="0" applyNumberFormat="1" applyFont="1" applyFill="1" applyBorder="1" applyAlignment="1">
      <x:alignment horizontal="left" vertical="center" wrapText="1"/>
    </x:xf>
    <x:xf numFmtId="0" fontId="38" fillId="12" borderId="0" xfId="0" applyNumberFormat="1" applyFont="1" applyFill="1" applyBorder="1" applyAlignment="1">
      <x:alignment horizontal="left" vertical="center" wrapText="1"/>
    </x:xf>
    <x:xf numFmtId="0" fontId="44" fillId="12" borderId="0" xfId="0" applyNumberFormat="1" applyFont="1" applyFill="1" applyBorder="1" applyAlignment="1">
      <x:alignment horizontal="left" vertical="center" wrapText="1"/>
    </x:xf>
    <x:xf numFmtId="0" fontId="38" fillId="12" borderId="11" xfId="0" applyNumberFormat="1" applyFont="1" applyFill="1" applyBorder="1" applyAlignment="1">
      <x:alignment horizontal="left" vertical="center" wrapText="1"/>
    </x:xf>
    <x:xf numFmtId="0" fontId="44" fillId="12" borderId="11" xfId="0" applyNumberFormat="1" applyFont="1" applyFill="1" applyBorder="1" applyAlignment="1">
      <x:alignment horizontal="left" vertical="center" wrapText="1"/>
    </x:xf>
    <x:xf numFmtId="0" fontId="38" fillId="11" borderId="0" xfId="0" applyNumberFormat="1" applyFont="1" applyFill="1" applyBorder="1" applyAlignment="1">
      <x:alignment horizontal="left" vertical="center" wrapText="1"/>
    </x:xf>
    <x:xf numFmtId="0" fontId="14" fillId="11" borderId="0" xfId="0" applyNumberFormat="1" applyFont="1" applyFill="1" applyBorder="1" applyAlignment="1">
      <x:alignment horizontal="left" vertical="center" wrapText="1"/>
    </x:xf>
    <x:xf numFmtId="0" fontId="38" fillId="11" borderId="11" xfId="0" applyNumberFormat="1" applyFont="1" applyFill="1" applyBorder="1" applyAlignment="1">
      <x:alignment horizontal="left" vertical="center" wrapText="1"/>
    </x:xf>
    <x:xf numFmtId="0" fontId="14" fillId="11" borderId="11" xfId="0" applyNumberFormat="1" applyFont="1" applyFill="1" applyBorder="1" applyAlignment="1">
      <x:alignment horizontal="left" vertical="center" wrapText="1"/>
    </x:xf>
    <x:xf numFmtId="0" fontId="39" fillId="14" borderId="0" xfId="0" applyNumberFormat="1" applyFont="1" applyFill="1" applyBorder="1" applyAlignment="1">
      <x:alignment horizontal="left" vertical="center" wrapText="1"/>
    </x:xf>
    <x:xf numFmtId="164" fontId="39" fillId="14" borderId="0" xfId="0" applyNumberFormat="1" applyFont="1" applyFill="1" applyBorder="1" applyAlignment="1">
      <x:alignment horizontal="center" vertical="center" wrapText="1"/>
    </x:xf>
    <x:xf numFmtId="0" fontId="39" fillId="14" borderId="0" xfId="0" applyNumberFormat="1" applyFont="1" applyFill="1" applyBorder="1" applyAlignment="1">
      <x:alignment horizontal="center" vertical="center" wrapText="1"/>
    </x:xf>
    <x:xf numFmtId="0" fontId="39" fillId="14" borderId="11" xfId="0" applyNumberFormat="1" applyFont="1" applyFill="1" applyBorder="1" applyAlignment="1">
      <x:alignment horizontal="left" vertical="center" wrapText="1"/>
    </x:xf>
    <x:xf numFmtId="164" fontId="39" fillId="14" borderId="11" xfId="0" applyNumberFormat="1" applyFont="1" applyFill="1" applyBorder="1" applyAlignment="1">
      <x:alignment horizontal="center" vertical="center" wrapText="1"/>
    </x:xf>
    <x:xf numFmtId="0" fontId="39" fillId="14" borderId="11" xfId="0" applyNumberFormat="1" applyFont="1" applyFill="1" applyBorder="1" applyAlignment="1">
      <x:alignment horizontal="center" vertical="center" wrapText="1"/>
    </x:xf>
    <x:xf numFmtId="204" fontId="39" fillId="14" borderId="0" xfId="0" applyNumberFormat="1" applyFont="1" applyFill="1" applyBorder="1" applyAlignment="1">
      <x:alignment horizontal="center" vertical="center" wrapText="1"/>
    </x:xf>
    <x:xf numFmtId="204" fontId="39" fillId="14" borderId="11" xfId="0" applyNumberFormat="1" applyFont="1" applyFill="1" applyBorder="1" applyAlignment="1">
      <x:alignment horizontal="center" vertical="center" wrapText="1"/>
    </x:xf>
    <x:xf numFmtId="200" fontId="39" fillId="13" borderId="0" xfId="0" applyNumberFormat="1" applyFont="1" applyFill="1" applyBorder="1" applyAlignment="1">
      <x:alignment horizontal="center" vertical="center" wrapText="1"/>
    </x:xf>
    <x:xf numFmtId="200" fontId="39" fillId="13" borderId="11" xfId="0" applyNumberFormat="1" applyFont="1" applyFill="1" applyBorder="1" applyAlignment="1">
      <x:alignment horizontal="center" vertical="center" wrapText="1"/>
    </x:xf>
    <x:xf numFmtId="165" fontId="39" fillId="14" borderId="0" xfId="0" applyNumberFormat="1" applyFont="1" applyFill="1" applyBorder="1" applyAlignment="1">
      <x:alignment horizontal="center" vertical="center" wrapText="1"/>
    </x:xf>
    <x:xf numFmtId="165" fontId="39" fillId="14" borderId="11" xfId="0" applyNumberFormat="1" applyFont="1" applyFill="1" applyBorder="1" applyAlignment="1">
      <x:alignment horizontal="center" vertical="center" wrapText="1"/>
    </x:xf>
    <x:xf numFmtId="200" fontId="39" fillId="14" borderId="0" xfId="0" applyNumberFormat="1" applyFont="1" applyFill="1" applyBorder="1" applyAlignment="1">
      <x:alignment horizontal="center" vertical="center" wrapText="1"/>
    </x:xf>
    <x:xf numFmtId="200" fontId="39" fillId="14" borderId="11" xfId="0" applyNumberFormat="1" applyFont="1" applyFill="1" applyBorder="1" applyAlignment="1">
      <x:alignment horizontal="center" vertical="center" wrapText="1"/>
    </x:xf>
    <x:xf numFmtId="201" fontId="39" fillId="13" borderId="0" xfId="0" applyNumberFormat="1" applyFont="1" applyFill="1" applyBorder="1" applyAlignment="1">
      <x:alignment horizontal="center" vertical="center" wrapText="1"/>
    </x:xf>
    <x:xf numFmtId="201" fontId="39" fillId="13" borderId="11" xfId="0" applyNumberFormat="1" applyFont="1" applyFill="1" applyBorder="1" applyAlignment="1">
      <x:alignment horizontal="center" vertical="center" wrapText="1"/>
    </x:xf>
    <x:xf numFmtId="0" fontId="45" fillId="13" borderId="0" xfId="0" applyNumberFormat="1" applyFont="1" applyFill="1" applyBorder="1" applyAlignment="1">
      <x:alignment horizontal="left" vertical="center" wrapText="1"/>
    </x:xf>
    <x:xf numFmtId="0" fontId="45" fillId="13" borderId="11" xfId="0" applyNumberFormat="1" applyFont="1" applyFill="1" applyBorder="1" applyAlignment="1">
      <x:alignment horizontal="left" vertical="center" wrapText="1"/>
    </x:xf>
    <x:xf numFmtId="0" fontId="46" fillId="13" borderId="0" xfId="0" applyNumberFormat="1" applyFont="1" applyFill="1" applyBorder="1" applyAlignment="1">
      <x:alignment horizontal="left" vertical="center" wrapText="1"/>
    </x:xf>
    <x:xf numFmtId="0" fontId="46" fillId="13" borderId="11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13" fillId="4" borderId="10" xfId="0" applyNumberFormat="1" applyFont="1" applyFill="1" applyBorder="1" applyAlignment="1">
      <x:alignment horizontal="left" vertical="center" wrapText="1"/>
    </x:xf>
    <x:xf numFmtId="0" fontId="13" fillId="4" borderId="1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203" fontId="39" fillId="14" borderId="0" xfId="0" applyNumberFormat="1" applyFont="1" applyFill="1" applyBorder="1" applyAlignment="1">
      <x:alignment horizontal="center" vertical="center" wrapText="1"/>
    </x:xf>
    <x:xf numFmtId="203" fontId="39" fillId="14" borderId="11" xfId="0" applyNumberFormat="1" applyFont="1" applyFill="1" applyBorder="1" applyAlignment="1">
      <x:alignment horizontal="center" vertical="center" wrapText="1"/>
    </x:xf>
    <x:xf numFmtId="203" fontId="39" fillId="13" borderId="0" xfId="0" applyNumberFormat="1" applyFont="1" applyFill="1" applyBorder="1" applyAlignment="1">
      <x:alignment horizontal="center" vertical="center" wrapText="1"/>
    </x:xf>
    <x:xf numFmtId="203" fontId="39" fillId="13" borderId="11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horizontal="left" vertic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15" fillId="3" borderId="0" xfId="0" applyNumberFormat="1" applyFont="1" applyFill="1" applyBorder="1" applyAlignment="1">
      <x:alignment horizontal="left" vertical="center" wrapText="1"/>
    </x:xf>
    <x:xf numFmtId="0" fontId="15" fillId="3" borderId="0" xfId="0" applyNumberFormat="1" applyFont="1" applyFill="1" applyBorder="1" applyAlignment="1">
      <x:alignment horizontal="center" vertical="center" wrapText="1"/>
    </x:xf>
    <x:xf numFmtId="164" fontId="16" fillId="5" borderId="0" xfId="0" applyNumberFormat="1" applyFont="1" applyFill="1" applyBorder="1" applyAlignment="1">
      <x:alignment horizontal="center" vertical="center" wrapText="1"/>
    </x:xf>
    <x:xf numFmtId="167" fontId="16" fillId="13" borderId="0" xfId="0" applyNumberFormat="1" applyFont="1" applyFill="1" applyBorder="1" applyAlignment="1">
      <x:alignment horizontal="center" vertical="center" wrapText="1"/>
    </x:xf>
    <x:xf numFmtId="167" fontId="39" fillId="13" borderId="0" xfId="0" applyNumberFormat="1" applyFont="1" applyFill="1" applyBorder="1" applyAlignment="1">
      <x:alignment horizontal="center" vertical="center" wrapText="1"/>
    </x:xf>
    <x:xf numFmtId="167" fontId="39" fillId="13" borderId="0" xfId="0" applyNumberFormat="1" applyFont="1" applyFill="1" applyBorder="1" applyAlignment="1">
      <x:alignment horizontal="left" vertical="center" wrapText="1"/>
    </x:xf>
    <x:xf numFmtId="167" fontId="16" fillId="13" borderId="11" xfId="0" applyNumberFormat="1" applyFont="1" applyFill="1" applyBorder="1" applyAlignment="1">
      <x:alignment horizontal="center" vertical="center" wrapText="1"/>
    </x:xf>
    <x:xf numFmtId="167" fontId="39" fillId="13" borderId="11" xfId="0" applyNumberFormat="1" applyFont="1" applyFill="1" applyBorder="1" applyAlignment="1">
      <x:alignment horizontal="center" vertical="center" wrapText="1"/>
    </x:xf>
    <x:xf numFmtId="167" fontId="39" fillId="13" borderId="11" xfId="0" applyNumberFormat="1" applyFont="1" applyFill="1" applyBorder="1" applyAlignment="1">
      <x:alignment horizontal="left" vertical="center" wrapText="1"/>
    </x:xf>
    <x:xf numFmtId="0" fontId="14" fillId="6" borderId="0" xfId="0" applyNumberFormat="1" applyFont="1" applyFill="1" applyBorder="1" applyAlignment="1">
      <x:alignment horizontal="left" vertical="center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164" fontId="16" fillId="2" borderId="0" xfId="0" applyNumberFormat="1" applyFont="1" applyFill="1" applyBorder="1" applyAlignment="1">
      <x:alignment horizontal="center" vertical="center" wrapText="1"/>
    </x:xf>
    <x:xf numFmtId="0" fontId="15" fillId="3" borderId="10" xfId="0" applyNumberFormat="1" applyFont="1" applyFill="1" applyBorder="1" applyAlignment="1">
      <x:alignment horizontal="left" vertical="center" wrapText="1"/>
    </x:xf>
    <x:xf numFmtId="0" fontId="15" fillId="3" borderId="10" xfId="0" applyNumberFormat="1" applyFont="1" applyFill="1" applyBorder="1" applyAlignment="1">
      <x:alignment horizontal="center" vertical="center" wrapText="1"/>
    </x:xf>
    <x:xf numFmtId="166" fontId="16" fillId="5" borderId="0" xfId="0" applyNumberFormat="1" applyFont="1" applyFill="1" applyBorder="1" applyAlignment="1">
      <x:alignment horizontal="center" vertical="center" wrapText="1"/>
    </x:xf>
    <x:xf numFmtId="167" fontId="16" fillId="2" borderId="0" xfId="0" applyNumberFormat="1" applyFont="1" applyFill="1" applyBorder="1" applyAlignment="1">
      <x:alignment horizontal="center" vertical="center" wrapText="1"/>
    </x:xf>
    <x:xf numFmtId="166" fontId="16" fillId="2" borderId="0" xfId="0" applyNumberFormat="1" applyFont="1" applyFill="1" applyBorder="1" applyAlignment="1">
      <x:alignment horizontal="center" vertical="center" wrapText="1"/>
    </x:xf>
    <x:xf numFmtId="167" fontId="16" fillId="5" borderId="0" xfId="0" applyNumberFormat="1" applyFont="1" applyFill="1" applyBorder="1" applyAlignment="1">
      <x:alignment horizontal="center" vertical="center" wrapText="1"/>
    </x:xf>
    <x:xf numFmtId="0" fontId="39" fillId="12" borderId="0" xfId="0" applyNumberFormat="1" applyFont="1" applyFill="1" applyBorder="1" applyAlignment="1">
      <x:alignment horizontal="left" vertical="center" wrapText="1"/>
    </x:xf>
    <x:xf numFmtId="200" fontId="39" fillId="12" borderId="0" xfId="0" applyNumberFormat="1" applyFont="1" applyFill="1" applyBorder="1" applyAlignment="1">
      <x:alignment horizontal="center" vertical="center" wrapText="1"/>
    </x:xf>
    <x:xf numFmtId="0" fontId="39" fillId="12" borderId="0" xfId="0" applyNumberFormat="1" applyFont="1" applyFill="1" applyBorder="1" applyAlignment="1">
      <x:alignment horizontal="center" vertical="center" wrapText="1"/>
    </x:xf>
    <x:xf numFmtId="200" fontId="38" fillId="12" borderId="0" xfId="0" applyNumberFormat="1" applyFont="1" applyFill="1" applyBorder="1" applyAlignment="1">
      <x:alignment horizontal="center" vertical="center" wrapText="1"/>
    </x:xf>
    <x:xf numFmtId="0" fontId="38" fillId="12" borderId="0" xfId="0" applyNumberFormat="1" applyFont="1" applyFill="1" applyBorder="1" applyAlignment="1">
      <x:alignment horizontal="center" vertical="center" wrapText="1"/>
    </x:xf>
    <x:xf numFmtId="0" fontId="39" fillId="12" borderId="11" xfId="0" applyNumberFormat="1" applyFont="1" applyFill="1" applyBorder="1" applyAlignment="1">
      <x:alignment horizontal="left" vertical="center" wrapText="1"/>
    </x:xf>
    <x:xf numFmtId="200" fontId="39" fillId="12" borderId="11" xfId="0" applyNumberFormat="1" applyFont="1" applyFill="1" applyBorder="1" applyAlignment="1">
      <x:alignment horizontal="center" vertical="center" wrapText="1"/>
    </x:xf>
    <x:xf numFmtId="0" fontId="39" fillId="12" borderId="11" xfId="0" applyNumberFormat="1" applyFont="1" applyFill="1" applyBorder="1" applyAlignment="1">
      <x:alignment horizontal="center" vertical="center" wrapText="1"/>
    </x:xf>
    <x:xf numFmtId="200" fontId="38" fillId="12" borderId="11" xfId="0" applyNumberFormat="1" applyFont="1" applyFill="1" applyBorder="1" applyAlignment="1">
      <x:alignment horizontal="center" vertical="center" wrapText="1"/>
    </x:xf>
    <x:xf numFmtId="0" fontId="38" fillId="12" borderId="11" xfId="0" applyNumberFormat="1" applyFont="1" applyFill="1" applyBorder="1" applyAlignment="1">
      <x:alignment horizontal="center" vertical="center" wrapText="1"/>
    </x:xf>
    <x:xf numFmtId="201" fontId="39" fillId="12" borderId="0" xfId="0" applyNumberFormat="1" applyFont="1" applyFill="1" applyBorder="1" applyAlignment="1">
      <x:alignment horizontal="center" vertical="center" wrapText="1"/>
    </x:xf>
    <x:xf numFmtId="201" fontId="38" fillId="12" borderId="0" xfId="0" applyNumberFormat="1" applyFont="1" applyFill="1" applyBorder="1" applyAlignment="1">
      <x:alignment horizontal="center" vertical="center" wrapText="1"/>
    </x:xf>
    <x:xf numFmtId="201" fontId="39" fillId="12" borderId="11" xfId="0" applyNumberFormat="1" applyFont="1" applyFill="1" applyBorder="1" applyAlignment="1">
      <x:alignment horizontal="center" vertical="center" wrapText="1"/>
    </x:xf>
    <x:xf numFmtId="201" fontId="38" fillId="12" borderId="11" xfId="0" applyNumberFormat="1" applyFont="1" applyFill="1" applyBorder="1" applyAlignment="1">
      <x:alignment horizontal="center" vertical="center" wrapText="1"/>
    </x:xf>
    <x:xf numFmtId="167" fontId="39" fillId="14" borderId="0" xfId="0" applyNumberFormat="1" applyFont="1" applyFill="1" applyBorder="1" applyAlignment="1">
      <x:alignment horizontal="center" vertical="center" wrapText="1"/>
    </x:xf>
    <x:xf numFmtId="167" fontId="39" fillId="14" borderId="11" xfId="0" applyNumberFormat="1" applyFont="1" applyFill="1" applyBorder="1" applyAlignment="1">
      <x:alignment horizontal="center" vertical="center" wrapText="1"/>
    </x:xf>
    <x:xf numFmtId="205" fontId="39" fillId="14" borderId="0" xfId="0" applyNumberFormat="1" applyFont="1" applyFill="1" applyBorder="1" applyAlignment="1">
      <x:alignment horizontal="center" vertical="center" wrapText="1"/>
    </x:xf>
    <x:xf numFmtId="205" fontId="39" fillId="14" borderId="11" xfId="0" applyNumberFormat="1" applyFont="1" applyFill="1" applyBorder="1" applyAlignment="1">
      <x:alignment horizontal="center" vertical="center" wrapText="1"/>
    </x:xf>
    <x:xf numFmtId="205" fontId="39" fillId="13" borderId="0" xfId="0" applyNumberFormat="1" applyFont="1" applyFill="1" applyBorder="1" applyAlignment="1">
      <x:alignment horizontal="center" vertical="center" wrapText="1"/>
    </x:xf>
    <x:xf numFmtId="205" fontId="39" fillId="13" borderId="11" xfId="0" applyNumberFormat="1" applyFont="1" applyFill="1" applyBorder="1" applyAlignment="1">
      <x:alignment horizontal="center" vertical="center" wrapText="1"/>
    </x:xf>
    <x:xf numFmtId="166" fontId="39" fillId="14" borderId="0" xfId="0" applyNumberFormat="1" applyFont="1" applyFill="1" applyBorder="1" applyAlignment="1">
      <x:alignment horizontal="center" vertical="center" wrapText="1"/>
    </x:xf>
    <x:xf numFmtId="166" fontId="39" fillId="14" borderId="11" xfId="0" applyNumberFormat="1" applyFont="1" applyFill="1" applyBorder="1" applyAlignment="1">
      <x:alignment horizontal="center" vertical="center" wrapText="1"/>
    </x:xf>
    <x:xf numFmtId="201" fontId="39" fillId="14" borderId="0" xfId="0" applyNumberFormat="1" applyFont="1" applyFill="1" applyBorder="1" applyAlignment="1">
      <x:alignment horizontal="center" vertical="center" wrapText="1"/>
    </x:xf>
    <x:xf numFmtId="201" fontId="39" fillId="14" borderId="11" xfId="0" applyNumberFormat="1" applyFont="1" applyFill="1" applyBorder="1" applyAlignment="1">
      <x:alignment horizontal="center" vertical="center" wrapText="1"/>
    </x:xf>
    <x:xf numFmtId="0" fontId="17" fillId="4" borderId="0" xfId="0" applyNumberFormat="1" applyFont="1" applyFill="1" applyBorder="1" applyAlignment="1">
      <x:alignment horizontal="left" vertical="center" wrapText="1"/>
    </x:xf>
    <x:xf numFmtId="0" fontId="17" fillId="4" borderId="0" xfId="0" applyNumberFormat="1" applyFont="1" applyFill="1" applyBorder="1" applyAlignment="1">
      <x:alignment horizontal="center" vertical="center" wrapText="1"/>
    </x:xf>
    <x:xf numFmtId="0" fontId="18" fillId="2" borderId="0" xfId="0" applyNumberFormat="1" applyFont="1" applyFill="1" applyBorder="1" applyAlignment="1">
      <x:alignment horizontal="left" vertical="center" wrapText="1"/>
    </x:xf>
    <x:xf numFmtId="0" fontId="18" fillId="2" borderId="0" xfId="0" applyNumberFormat="1" applyFont="1" applyFill="1" applyBorder="1" applyAlignment="1">
      <x:alignment horizontal="center" vertical="center" wrapText="1"/>
    </x:xf>
    <x:xf numFmtId="0" fontId="19" fillId="2" borderId="0" xfId="0" applyNumberFormat="1" applyFont="1" applyFill="1" applyBorder="1" applyAlignment="1">
      <x:alignment horizontal="left" vertical="center" wrapText="1"/>
    </x:xf>
    <x:xf numFmtId="0" fontId="19" fillId="2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left" vertic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39" fillId="15" borderId="0" xfId="0" applyNumberFormat="1" applyFont="1" applyFill="1" applyBorder="1" applyAlignment="1">
      <x:alignment horizontal="left" vertical="center" wrapText="1"/>
    </x:xf>
    <x:xf numFmtId="0" fontId="39" fillId="15" borderId="0" xfId="0" applyNumberFormat="1" applyFont="1" applyFill="1" applyBorder="1" applyAlignment="1">
      <x:alignment horizontal="center" vertical="center" wrapText="1"/>
    </x:xf>
    <x:xf numFmtId="0" fontId="47" fillId="15" borderId="0" xfId="0" applyNumberFormat="1" applyFont="1" applyFill="1" applyBorder="1" applyAlignment="1">
      <x:alignment horizontal="left" vertical="center" wrapText="1"/>
    </x:xf>
    <x:xf numFmtId="0" fontId="47" fillId="15" borderId="0" xfId="0" applyNumberFormat="1" applyFont="1" applyFill="1" applyBorder="1" applyAlignment="1">
      <x:alignment horizontal="center" vertical="center" wrapText="1"/>
    </x:xf>
    <x:xf numFmtId="0" fontId="39" fillId="15" borderId="11" xfId="0" applyNumberFormat="1" applyFont="1" applyFill="1" applyBorder="1" applyAlignment="1">
      <x:alignment horizontal="left" vertical="center" wrapText="1"/>
    </x:xf>
    <x:xf numFmtId="0" fontId="39" fillId="15" borderId="11" xfId="0" applyNumberFormat="1" applyFont="1" applyFill="1" applyBorder="1" applyAlignment="1">
      <x:alignment horizontal="center" vertical="center" wrapText="1"/>
    </x:xf>
    <x:xf numFmtId="0" fontId="47" fillId="15" borderId="11" xfId="0" applyNumberFormat="1" applyFont="1" applyFill="1" applyBorder="1" applyAlignment="1">
      <x:alignment horizontal="left" vertical="center" wrapText="1"/>
    </x:xf>
    <x:xf numFmtId="0" fontId="47" fillId="15" borderId="11" xfId="0" applyNumberFormat="1" applyFont="1" applyFill="1" applyBorder="1" applyAlignment="1">
      <x:alignment horizontal="center" vertical="center" wrapText="1"/>
    </x:xf>
    <x:xf numFmtId="204" fontId="39" fillId="13" borderId="0" xfId="0" applyNumberFormat="1" applyFont="1" applyFill="1" applyBorder="1" applyAlignment="1">
      <x:alignment horizontal="center" vertical="center" wrapText="1"/>
    </x:xf>
    <x:xf numFmtId="204" fontId="39" fillId="13" borderId="11" xfId="0" applyNumberFormat="1" applyFont="1" applyFill="1" applyBorder="1" applyAlignment="1">
      <x:alignment horizontal="center" vertical="center" wrapText="1"/>
    </x:xf>
    <x:xf numFmtId="168" fontId="16" fillId="13" borderId="0" xfId="0" applyNumberFormat="1" applyFont="1" applyFill="1" applyBorder="1" applyAlignment="1">
      <x:alignment horizontal="center" vertical="center" wrapText="1"/>
    </x:xf>
    <x:xf numFmtId="2" fontId="16" fillId="13" borderId="0" xfId="0" applyNumberFormat="1" applyFont="1" applyFill="1" applyBorder="1" applyAlignment="1">
      <x:alignment horizontal="center" vertical="center" wrapText="1"/>
    </x:xf>
    <x:xf numFmtId="169" fontId="16" fillId="13" borderId="0" xfId="0" applyNumberFormat="1" applyFont="1" applyFill="1" applyBorder="1" applyAlignment="1">
      <x:alignment horizontal="center" vertical="center" wrapText="1"/>
    </x:xf>
    <x:xf numFmtId="168" fontId="39" fillId="13" borderId="0" xfId="0" applyNumberFormat="1" applyFont="1" applyFill="1" applyBorder="1" applyAlignment="1">
      <x:alignment horizontal="center" vertical="center" wrapText="1"/>
    </x:xf>
    <x:xf numFmtId="2" fontId="39" fillId="13" borderId="0" xfId="0" applyNumberFormat="1" applyFont="1" applyFill="1" applyBorder="1" applyAlignment="1">
      <x:alignment horizontal="center" vertical="center" wrapText="1"/>
    </x:xf>
    <x:xf numFmtId="169" fontId="39" fillId="13" borderId="0" xfId="0" applyNumberFormat="1" applyFont="1" applyFill="1" applyBorder="1" applyAlignment="1">
      <x:alignment horizontal="center" vertical="center" wrapText="1"/>
    </x:xf>
    <x:xf numFmtId="168" fontId="39" fillId="13" borderId="0" xfId="0" applyNumberFormat="1" applyFont="1" applyFill="1" applyBorder="1" applyAlignment="1">
      <x:alignment horizontal="left" vertical="center" wrapText="1"/>
    </x:xf>
    <x:xf numFmtId="2" fontId="39" fillId="13" borderId="0" xfId="0" applyNumberFormat="1" applyFont="1" applyFill="1" applyBorder="1" applyAlignment="1">
      <x:alignment horizontal="left" vertical="center" wrapText="1"/>
    </x:xf>
    <x:xf numFmtId="169" fontId="39" fillId="13" borderId="0" xfId="0" applyNumberFormat="1" applyFont="1" applyFill="1" applyBorder="1" applyAlignment="1">
      <x:alignment horizontal="left" vertical="center" wrapText="1"/>
    </x:xf>
    <x:xf numFmtId="168" fontId="16" fillId="13" borderId="11" xfId="0" applyNumberFormat="1" applyFont="1" applyFill="1" applyBorder="1" applyAlignment="1">
      <x:alignment horizontal="center" vertical="center" wrapText="1"/>
    </x:xf>
    <x:xf numFmtId="2" fontId="16" fillId="13" borderId="11" xfId="0" applyNumberFormat="1" applyFont="1" applyFill="1" applyBorder="1" applyAlignment="1">
      <x:alignment horizontal="center" vertical="center" wrapText="1"/>
    </x:xf>
    <x:xf numFmtId="169" fontId="16" fillId="13" borderId="11" xfId="0" applyNumberFormat="1" applyFont="1" applyFill="1" applyBorder="1" applyAlignment="1">
      <x:alignment horizontal="center" vertical="center" wrapText="1"/>
    </x:xf>
    <x:xf numFmtId="168" fontId="39" fillId="13" borderId="11" xfId="0" applyNumberFormat="1" applyFont="1" applyFill="1" applyBorder="1" applyAlignment="1">
      <x:alignment horizontal="center" vertical="center" wrapText="1"/>
    </x:xf>
    <x:xf numFmtId="2" fontId="39" fillId="13" borderId="11" xfId="0" applyNumberFormat="1" applyFont="1" applyFill="1" applyBorder="1" applyAlignment="1">
      <x:alignment horizontal="center" vertical="center" wrapText="1"/>
    </x:xf>
    <x:xf numFmtId="169" fontId="39" fillId="13" borderId="11" xfId="0" applyNumberFormat="1" applyFont="1" applyFill="1" applyBorder="1" applyAlignment="1">
      <x:alignment horizontal="center" vertical="center" wrapText="1"/>
    </x:xf>
    <x:xf numFmtId="168" fontId="39" fillId="13" borderId="11" xfId="0" applyNumberFormat="1" applyFont="1" applyFill="1" applyBorder="1" applyAlignment="1">
      <x:alignment horizontal="left" vertical="center" wrapText="1"/>
    </x:xf>
    <x:xf numFmtId="2" fontId="39" fillId="13" borderId="11" xfId="0" applyNumberFormat="1" applyFont="1" applyFill="1" applyBorder="1" applyAlignment="1">
      <x:alignment horizontal="left" vertical="center" wrapText="1"/>
    </x:xf>
    <x:xf numFmtId="169" fontId="39" fillId="13" borderId="11" xfId="0" applyNumberFormat="1" applyFont="1" applyFill="1" applyBorder="1" applyAlignment="1">
      <x:alignment horizontal="left" vertical="center" wrapText="1"/>
    </x:xf>
    <x:xf numFmtId="164" fontId="2" fillId="7" borderId="0" xfId="0" applyNumberFormat="1" applyFont="1" applyFill="1" applyBorder="1" applyAlignment="1">
      <x:alignment horizontal="center" vertical="center" wrapText="1"/>
    </x:xf>
    <x:xf numFmtId="168" fontId="2" fillId="7" borderId="0" xfId="0" applyNumberFormat="1" applyFont="1" applyFill="1" applyBorder="1" applyAlignment="1">
      <x:alignment horizontal="center" vertical="center" wrapText="1"/>
    </x:xf>
    <x:xf numFmtId="165" fontId="2" fillId="7" borderId="0" xfId="0" applyNumberFormat="1" applyFont="1" applyFill="1" applyBorder="1" applyAlignment="1">
      <x:alignment horizontal="center" vertical="center" wrapText="1"/>
    </x:xf>
    <x:xf numFmtId="168" fontId="20" fillId="7" borderId="0" xfId="0" applyNumberFormat="1" applyFont="1" applyFill="1" applyBorder="1" applyAlignment="1">
      <x:alignment horizontal="center" vertical="center" wrapText="1"/>
    </x:xf>
    <x:xf numFmtId="166" fontId="2" fillId="7" borderId="0" xfId="0" applyNumberFormat="1" applyFont="1" applyFill="1" applyBorder="1" applyAlignment="1">
      <x:alignment horizontal="center" vertical="center" wrapText="1"/>
    </x:xf>
    <x:xf numFmtId="2" fontId="2" fillId="7" borderId="0" xfId="0" applyNumberFormat="1" applyFont="1" applyFill="1" applyBorder="1" applyAlignment="1">
      <x:alignment horizontal="center" vertical="center" wrapText="1"/>
    </x:xf>
    <x:xf numFmtId="169" fontId="2" fillId="7" borderId="0" xfId="0" applyNumberFormat="1" applyFont="1" applyFill="1" applyBorder="1" applyAlignment="1">
      <x:alignment horizontal="center" vertical="center" wrapText="1"/>
    </x:xf>
    <x:xf numFmtId="170" fontId="2" fillId="7" borderId="0" xfId="0" applyNumberFormat="1" applyFont="1" applyFill="1" applyBorder="1" applyAlignment="1">
      <x:alignment horizontal="center" vertical="center" wrapText="1"/>
    </x:xf>
    <x:xf numFmtId="171" fontId="2" fillId="7" borderId="0" xfId="0" applyNumberFormat="1" applyFont="1" applyFill="1" applyBorder="1" applyAlignment="1">
      <x:alignment horizontal="center" vertical="center" wrapText="1"/>
    </x:xf>
    <x:xf numFmtId="168" fontId="39" fillId="14" borderId="0" xfId="0" applyNumberFormat="1" applyFont="1" applyFill="1" applyBorder="1" applyAlignment="1">
      <x:alignment horizontal="center" vertical="center" wrapText="1"/>
    </x:xf>
    <x:xf numFmtId="168" fontId="39" fillId="14" borderId="11" xfId="0" applyNumberFormat="1" applyFont="1" applyFill="1" applyBorder="1" applyAlignment="1">
      <x:alignment horizontal="center" vertical="center" wrapText="1"/>
    </x:xf>
    <x:xf numFmtId="173" fontId="39" fillId="13" borderId="0" xfId="0" applyNumberFormat="1" applyFont="1" applyFill="1" applyBorder="1" applyAlignment="1">
      <x:alignment horizontal="center" vertical="center" wrapText="1"/>
    </x:xf>
    <x:xf numFmtId="173" fontId="39" fillId="13" borderId="11" xfId="0" applyNumberFormat="1" applyFont="1" applyFill="1" applyBorder="1" applyAlignment="1">
      <x:alignment horizontal="center" vertical="center" wrapText="1"/>
    </x:xf>
    <x:xf numFmtId="169" fontId="39" fillId="14" borderId="0" xfId="0" applyNumberFormat="1" applyFont="1" applyFill="1" applyBorder="1" applyAlignment="1">
      <x:alignment horizontal="center" vertical="center" wrapText="1"/>
    </x:xf>
    <x:xf numFmtId="169" fontId="39" fillId="14" borderId="11" xfId="0" applyNumberFormat="1" applyFont="1" applyFill="1" applyBorder="1" applyAlignment="1">
      <x:alignment horizontal="center" vertical="center" wrapText="1"/>
    </x:xf>
    <x:xf numFmtId="168" fontId="16" fillId="2" borderId="0" xfId="0" applyNumberFormat="1" applyFont="1" applyFill="1" applyBorder="1" applyAlignment="1">
      <x:alignment horizontal="center" vertical="center" wrapText="1"/>
    </x:xf>
    <x:xf numFmtId="168" fontId="16" fillId="5" borderId="0" xfId="0" applyNumberFormat="1" applyFont="1" applyFill="1" applyBorder="1" applyAlignment="1">
      <x:alignment horizontal="center" vertical="center" wrapText="1"/>
    </x:xf>
    <x:xf numFmtId="2" fontId="16" fillId="5" borderId="0" xfId="0" applyNumberFormat="1" applyFont="1" applyFill="1" applyBorder="1" applyAlignment="1">
      <x:alignment horizontal="center" vertical="center" wrapText="1"/>
    </x:xf>
    <x:xf numFmtId="169" fontId="16" fillId="2" borderId="0" xfId="0" applyNumberFormat="1" applyFont="1" applyFill="1" applyBorder="1" applyAlignment="1">
      <x:alignment horizontal="center" vertical="center" wrapText="1"/>
    </x:xf>
    <x:xf numFmtId="206" fontId="39" fillId="13" borderId="0" xfId="0" applyNumberFormat="1" applyFont="1" applyFill="1" applyBorder="1" applyAlignment="1">
      <x:alignment horizontal="center" vertical="center" wrapText="1"/>
    </x:xf>
    <x:xf numFmtId="206" fontId="39" fillId="13" borderId="11" xfId="0" applyNumberFormat="1" applyFont="1" applyFill="1" applyBorder="1" applyAlignment="1">
      <x:alignment horizontal="center" vertical="center" wrapText="1"/>
    </x:xf>
    <x:xf numFmtId="165" fontId="1" fillId="5" borderId="0" xfId="0" applyNumberFormat="1" applyFont="1" applyFill="1" applyBorder="1" applyAlignment="1">
      <x:alignment horizontal="center" vertical="center" wrapText="1"/>
    </x:xf>
    <x:xf numFmtId="165" fontId="1" fillId="2" borderId="0" xfId="0" applyNumberFormat="1" applyFont="1" applyFill="1" applyBorder="1" applyAlignment="1">
      <x:alignment horizontal="center" vertical="center" wrapText="1"/>
    </x:xf>
    <x:xf numFmtId="172" fontId="1" fillId="2" borderId="0" xfId="0" applyNumberFormat="1" applyFont="1" applyFill="1" applyBorder="1" applyAlignment="1">
      <x:alignment horizontal="center" vertical="center" wrapText="1"/>
    </x:xf>
    <x:xf numFmtId="166" fontId="1" fillId="5" borderId="0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 applyAlignment="1">
      <x:alignment horizontal="center" vertical="center" wrapText="1"/>
    </x:xf>
    <x:xf numFmtId="0" fontId="35" fillId="0" borderId="11" xfId="0" applyNumberFormat="1" applyFont="1" applyFill="1" applyBorder="1" applyAlignment="1">
      <x:alignment horizontal="center" vertical="center" wrapText="1"/>
    </x:xf>
    <x:xf numFmtId="165" fontId="39" fillId="15" borderId="0" xfId="0" applyNumberFormat="1" applyFont="1" applyFill="1" applyBorder="1" applyAlignment="1">
      <x:alignment horizontal="center" vertical="center" wrapText="1"/>
    </x:xf>
    <x:xf numFmtId="165" fontId="47" fillId="15" borderId="0" xfId="0" applyNumberFormat="1" applyFont="1" applyFill="1" applyBorder="1" applyAlignment="1">
      <x:alignment horizontal="center" vertical="center" wrapText="1"/>
    </x:xf>
    <x:xf numFmtId="165" fontId="39" fillId="15" borderId="11" xfId="0" applyNumberFormat="1" applyFont="1" applyFill="1" applyBorder="1" applyAlignment="1">
      <x:alignment horizontal="center" vertical="center" wrapText="1"/>
    </x:xf>
    <x:xf numFmtId="165" fontId="47" fillId="15" borderId="11" xfId="0" applyNumberFormat="1" applyFont="1" applyFill="1" applyBorder="1" applyAlignment="1">
      <x:alignment horizontal="center" vertical="center" wrapText="1"/>
    </x:xf>
    <x:xf numFmtId="207" fontId="39" fillId="13" borderId="0" xfId="0" applyNumberFormat="1" applyFont="1" applyFill="1" applyBorder="1" applyAlignment="1">
      <x:alignment horizontal="center" vertical="center" wrapText="1"/>
    </x:xf>
    <x:xf numFmtId="207" fontId="39" fillId="13" borderId="11" xfId="0" applyNumberFormat="1" applyFont="1" applyFill="1" applyBorder="1" applyAlignment="1">
      <x:alignment horizontal="center" vertical="center" wrapText="1"/>
    </x:xf>
    <x:xf numFmtId="207" fontId="39" fillId="12" borderId="0" xfId="0" applyNumberFormat="1" applyFont="1" applyFill="1" applyBorder="1" applyAlignment="1">
      <x:alignment horizontal="center" vertical="center" wrapText="1"/>
    </x:xf>
    <x:xf numFmtId="207" fontId="38" fillId="12" borderId="0" xfId="0" applyNumberFormat="1" applyFont="1" applyFill="1" applyBorder="1" applyAlignment="1">
      <x:alignment horizontal="center" vertical="center" wrapText="1"/>
    </x:xf>
    <x:xf numFmtId="207" fontId="39" fillId="12" borderId="11" xfId="0" applyNumberFormat="1" applyFont="1" applyFill="1" applyBorder="1" applyAlignment="1">
      <x:alignment horizontal="center" vertical="center" wrapText="1"/>
    </x:xf>
    <x:xf numFmtId="207" fontId="38" fillId="12" borderId="11" xfId="0" applyNumberFormat="1" applyFont="1" applyFill="1" applyBorder="1" applyAlignment="1">
      <x:alignment horizontal="center" vertical="center" wrapText="1"/>
    </x:xf>
    <x:xf numFmtId="1" fontId="1" fillId="2" borderId="0" xfId="0" applyNumberFormat="1" applyFont="1" applyFill="1" applyBorder="1" applyAlignment="1">
      <x:alignment horizontal="left" vertical="center" wrapText="1"/>
    </x:xf>
    <x:xf numFmtId="1" fontId="1" fillId="5" borderId="0" xfId="0" applyNumberFormat="1" applyFont="1" applyFill="1" applyBorder="1" applyAlignment="1">
      <x:alignment horizontal="left" vertical="center" wrapText="1"/>
    </x:xf>
    <x:xf numFmtId="170" fontId="16" fillId="13" borderId="0" xfId="0" applyNumberFormat="1" applyFont="1" applyFill="1" applyBorder="1" applyAlignment="1">
      <x:alignment horizontal="center" vertical="center" wrapText="1"/>
    </x:xf>
    <x:xf numFmtId="170" fontId="39" fillId="13" borderId="0" xfId="0" applyNumberFormat="1" applyFont="1" applyFill="1" applyBorder="1" applyAlignment="1">
      <x:alignment horizontal="center" vertical="center" wrapText="1"/>
    </x:xf>
    <x:xf numFmtId="170" fontId="39" fillId="13" borderId="0" xfId="0" applyNumberFormat="1" applyFont="1" applyFill="1" applyBorder="1" applyAlignment="1">
      <x:alignment horizontal="left" vertical="center" wrapText="1"/>
    </x:xf>
    <x:xf numFmtId="170" fontId="16" fillId="13" borderId="11" xfId="0" applyNumberFormat="1" applyFont="1" applyFill="1" applyBorder="1" applyAlignment="1">
      <x:alignment horizontal="center" vertical="center" wrapText="1"/>
    </x:xf>
    <x:xf numFmtId="170" fontId="39" fillId="13" borderId="11" xfId="0" applyNumberFormat="1" applyFont="1" applyFill="1" applyBorder="1" applyAlignment="1">
      <x:alignment horizontal="center" vertical="center" wrapText="1"/>
    </x:xf>
    <x:xf numFmtId="170" fontId="39" fillId="13" borderId="11" xfId="0" applyNumberFormat="1" applyFont="1" applyFill="1" applyBorder="1" applyAlignment="1">
      <x:alignment horizontal="left" vertical="center" wrapText="1"/>
    </x:xf>
    <x:xf numFmtId="167" fontId="1" fillId="2" borderId="0" xfId="0" applyNumberFormat="1" applyFont="1" applyFill="1" applyBorder="1" applyAlignment="1">
      <x:alignment horizontal="center" vertical="center" wrapText="1"/>
    </x:xf>
    <x:xf numFmtId="170" fontId="16" fillId="2" borderId="0" xfId="0" applyNumberFormat="1" applyFont="1" applyFill="1" applyBorder="1" applyAlignment="1">
      <x:alignment horizontal="center" vertical="center" wrapText="1"/>
    </x:xf>
    <x:xf numFmtId="170" fontId="39" fillId="14" borderId="0" xfId="0" applyNumberFormat="1" applyFont="1" applyFill="1" applyBorder="1" applyAlignment="1">
      <x:alignment horizontal="center" vertical="center" wrapText="1"/>
    </x:xf>
    <x:xf numFmtId="170" fontId="39" fillId="14" borderId="11" xfId="0" applyNumberFormat="1" applyFont="1" applyFill="1" applyBorder="1" applyAlignment="1">
      <x:alignment horizontal="center" vertical="center" wrapText="1"/>
    </x:xf>
    <x:xf numFmtId="167" fontId="39" fillId="15" borderId="0" xfId="0" applyNumberFormat="1" applyFont="1" applyFill="1" applyBorder="1" applyAlignment="1">
      <x:alignment horizontal="center" vertical="center" wrapText="1"/>
    </x:xf>
    <x:xf numFmtId="167" fontId="47" fillId="15" borderId="0" xfId="0" applyNumberFormat="1" applyFont="1" applyFill="1" applyBorder="1" applyAlignment="1">
      <x:alignment horizontal="center" vertical="center" wrapText="1"/>
    </x:xf>
    <x:xf numFmtId="167" fontId="39" fillId="15" borderId="11" xfId="0" applyNumberFormat="1" applyFont="1" applyFill="1" applyBorder="1" applyAlignment="1">
      <x:alignment horizontal="center" vertical="center" wrapText="1"/>
    </x:xf>
    <x:xf numFmtId="167" fontId="47" fillId="15" borderId="11" xfId="0" applyNumberFormat="1" applyFont="1" applyFill="1" applyBorder="1" applyAlignment="1">
      <x:alignment horizontal="center" vertical="center" wrapText="1"/>
    </x:xf>
    <x:xf numFmtId="171" fontId="16" fillId="13" borderId="0" xfId="0" applyNumberFormat="1" applyFont="1" applyFill="1" applyBorder="1" applyAlignment="1">
      <x:alignment horizontal="center" vertical="center" wrapText="1"/>
    </x:xf>
    <x:xf numFmtId="171" fontId="39" fillId="13" borderId="0" xfId="0" applyNumberFormat="1" applyFont="1" applyFill="1" applyBorder="1" applyAlignment="1">
      <x:alignment horizontal="center" vertical="center" wrapText="1"/>
    </x:xf>
    <x:xf numFmtId="171" fontId="39" fillId="13" borderId="0" xfId="0" applyNumberFormat="1" applyFont="1" applyFill="1" applyBorder="1" applyAlignment="1">
      <x:alignment horizontal="left" vertical="center" wrapText="1"/>
    </x:xf>
    <x:xf numFmtId="171" fontId="16" fillId="13" borderId="11" xfId="0" applyNumberFormat="1" applyFont="1" applyFill="1" applyBorder="1" applyAlignment="1">
      <x:alignment horizontal="center" vertical="center" wrapText="1"/>
    </x:xf>
    <x:xf numFmtId="171" fontId="39" fillId="13" borderId="11" xfId="0" applyNumberFormat="1" applyFont="1" applyFill="1" applyBorder="1" applyAlignment="1">
      <x:alignment horizontal="center" vertical="center" wrapText="1"/>
    </x:xf>
    <x:xf numFmtId="171" fontId="39" fillId="13" borderId="11" xfId="0" applyNumberFormat="1" applyFont="1" applyFill="1" applyBorder="1" applyAlignment="1">
      <x:alignment horizontal="left" vertical="center" wrapText="1"/>
    </x:xf>
    <x:xf numFmtId="168" fontId="1" fillId="2" borderId="0" xfId="0" applyNumberFormat="1" applyFont="1" applyFill="1" applyBorder="1" applyAlignment="1">
      <x:alignment horizontal="center" vertical="center" wrapText="1"/>
    </x:xf>
    <x:xf numFmtId="168" fontId="1" fillId="5" borderId="0" xfId="0" applyNumberFormat="1" applyFont="1" applyFill="1" applyBorder="1" applyAlignment="1">
      <x:alignment horizontal="center" vertical="center" wrapText="1"/>
    </x:xf>
    <x:xf numFmtId="166" fontId="1" fillId="2" borderId="0" xfId="0" applyNumberFormat="1" applyFont="1" applyFill="1" applyBorder="1" applyAlignment="1">
      <x:alignment horizontal="center" vertical="center" wrapText="1"/>
    </x:xf>
    <x:xf numFmtId="171" fontId="16" fillId="5" borderId="0" xfId="0" applyNumberFormat="1" applyFont="1" applyFill="1" applyBorder="1" applyAlignment="1">
      <x:alignment horizontal="center" vertical="center" wrapText="1"/>
    </x:xf>
    <x:xf numFmtId="166" fontId="1" fillId="5" borderId="0" xfId="0" applyNumberFormat="1" applyFont="1" applyFill="1" applyBorder="1" applyAlignment="1">
      <x:alignment horizontal="left" vertical="center" wrapText="1"/>
    </x:xf>
    <x:xf numFmtId="166" fontId="1" fillId="2" borderId="0" xfId="0" applyNumberFormat="1" applyFont="1" applyFill="1" applyBorder="1" applyAlignment="1">
      <x:alignment horizontal="left" vertical="center" wrapText="1"/>
    </x:xf>
    <x:xf numFmtId="2" fontId="1" fillId="2" borderId="0" xfId="0" applyNumberFormat="1" applyFont="1" applyFill="1" applyBorder="1" applyAlignment="1">
      <x:alignment horizontal="left" vertical="center" wrapText="1"/>
    </x:xf>
    <x:xf numFmtId="2" fontId="1" fillId="5" borderId="0" xfId="0" applyNumberFormat="1" applyFont="1" applyFill="1" applyBorder="1" applyAlignment="1">
      <x:alignment horizontal="left" vertical="center" wrapText="1"/>
    </x:xf>
    <x:xf numFmtId="208" fontId="39" fillId="14" borderId="0" xfId="0" applyNumberFormat="1" applyFont="1" applyFill="1" applyBorder="1" applyAlignment="1">
      <x:alignment horizontal="center" vertical="center" wrapText="1"/>
    </x:xf>
    <x:xf numFmtId="208" fontId="39" fillId="14" borderId="11" xfId="0" applyNumberFormat="1" applyFont="1" applyFill="1" applyBorder="1" applyAlignment="1">
      <x:alignment horizontal="center" vertical="center" wrapText="1"/>
    </x:xf>
    <x:xf numFmtId="171" fontId="39" fillId="14" borderId="0" xfId="0" applyNumberFormat="1" applyFont="1" applyFill="1" applyBorder="1" applyAlignment="1">
      <x:alignment horizontal="center" vertical="center" wrapText="1"/>
    </x:xf>
    <x:xf numFmtId="171" fontId="39" fillId="14" borderId="11" xfId="0" applyNumberFormat="1" applyFont="1" applyFill="1" applyBorder="1" applyAlignment="1">
      <x:alignment horizontal="center" vertical="center" wrapText="1"/>
    </x:xf>
    <x:xf numFmtId="209" fontId="39" fillId="13" borderId="0" xfId="0" applyNumberFormat="1" applyFont="1" applyFill="1" applyBorder="1" applyAlignment="1">
      <x:alignment horizontal="center" vertical="center" wrapText="1"/>
    </x:xf>
    <x:xf numFmtId="209" fontId="39" fillId="13" borderId="11" xfId="0" applyNumberFormat="1" applyFont="1" applyFill="1" applyBorder="1" applyAlignment="1">
      <x:alignment horizontal="center" vertical="center" wrapText="1"/>
    </x:xf>
    <x:xf numFmtId="2" fontId="16" fillId="2" borderId="0" xfId="0" applyNumberFormat="1" applyFont="1" applyFill="1" applyBorder="1" applyAlignment="1">
      <x:alignment horizontal="center" vertical="center" wrapText="1"/>
    </x:xf>
    <x:xf numFmtId="169" fontId="16" fillId="5" borderId="0" xfId="0" applyNumberFormat="1" applyFont="1" applyFill="1" applyBorder="1" applyAlignment="1">
      <x:alignment horizontal="center" vertical="center" wrapText="1"/>
    </x:xf>
    <x:xf numFmtId="2" fontId="39" fillId="14" borderId="0" xfId="0" applyNumberFormat="1" applyFont="1" applyFill="1" applyBorder="1" applyAlignment="1">
      <x:alignment horizontal="center" vertical="center" wrapText="1"/>
    </x:xf>
    <x:xf numFmtId="2" fontId="39" fillId="14" borderId="11" xfId="0" applyNumberFormat="1" applyFont="1" applyFill="1" applyBorder="1" applyAlignment="1">
      <x:alignment horizontal="center" vertical="center" wrapText="1"/>
    </x:xf>
    <x:xf numFmtId="173" fontId="39" fillId="14" borderId="0" xfId="0" applyNumberFormat="1" applyFont="1" applyFill="1" applyBorder="1" applyAlignment="1">
      <x:alignment horizontal="center" vertical="center" wrapText="1"/>
    </x:xf>
    <x:xf numFmtId="173" fontId="39" fillId="14" borderId="11" xfId="0" applyNumberFormat="1" applyFont="1" applyFill="1" applyBorder="1" applyAlignment="1">
      <x:alignment horizontal="center" vertical="center" wrapText="1"/>
    </x:xf>
    <x:xf numFmtId="208" fontId="39" fillId="13" borderId="0" xfId="0" applyNumberFormat="1" applyFont="1" applyFill="1" applyBorder="1" applyAlignment="1">
      <x:alignment horizontal="center" vertical="center" wrapText="1"/>
    </x:xf>
    <x:xf numFmtId="208" fontId="39" fillId="13" borderId="11" xfId="0" applyNumberFormat="1" applyFont="1" applyFill="1" applyBorder="1" applyAlignment="1">
      <x:alignment horizontal="center" vertical="center" wrapText="1"/>
    </x:xf>
    <x:xf numFmtId="209" fontId="39" fillId="14" borderId="0" xfId="0" applyNumberFormat="1" applyFont="1" applyFill="1" applyBorder="1" applyAlignment="1">
      <x:alignment horizontal="center" vertical="center" wrapText="1"/>
    </x:xf>
    <x:xf numFmtId="209" fontId="39" fillId="14" borderId="11" xfId="0" applyNumberFormat="1" applyFont="1" applyFill="1" applyBorder="1" applyAlignment="1">
      <x:alignment horizontal="center" vertical="center" wrapText="1"/>
    </x:xf>
    <x:xf numFmtId="171" fontId="16" fillId="2" borderId="0" xfId="0" applyNumberFormat="1" applyFont="1" applyFill="1" applyBorder="1" applyAlignment="1">
      <x:alignment horizontal="center" vertical="center" wrapText="1"/>
    </x:xf>
    <x:xf numFmtId="171" fontId="1" fillId="5" borderId="0" xfId="0" applyNumberFormat="1" applyFont="1" applyFill="1" applyBorder="1" applyAlignment="1">
      <x:alignment horizontal="center" vertical="center" wrapText="1"/>
    </x:xf>
    <x:xf numFmtId="171" fontId="1" fillId="2" borderId="0" xfId="0" applyNumberFormat="1" applyFont="1" applyFill="1" applyBorder="1" applyAlignment="1">
      <x:alignment horizontal="center" vertical="center" wrapText="1"/>
    </x:xf>
    <x:xf numFmtId="170" fontId="1" fillId="2" borderId="0" xfId="0" applyNumberFormat="1" applyFont="1" applyFill="1" applyBorder="1" applyAlignment="1">
      <x:alignment horizontal="left" vertical="center" wrapText="1"/>
    </x:xf>
    <x:xf numFmtId="170" fontId="1" fillId="5" borderId="0" xfId="0" applyNumberFormat="1" applyFont="1" applyFill="1" applyBorder="1" applyAlignment="1">
      <x:alignment horizontal="left" vertical="center" wrapText="1"/>
    </x:xf>
    <x:xf numFmtId="165" fontId="1" fillId="5" borderId="0" xfId="0" applyNumberFormat="1" applyFont="1" applyFill="1" applyBorder="1" applyAlignment="1">
      <x:alignment horizontal="left" vertical="center" wrapText="1"/>
    </x:xf>
    <x:xf numFmtId="166" fontId="16" fillId="8" borderId="0" xfId="0" applyNumberFormat="1" applyFont="1" applyFill="1" applyBorder="1" applyAlignment="1">
      <x:alignment horizontal="center" vertical="center" wrapText="1"/>
    </x:xf>
    <x:xf numFmtId="166" fontId="21" fillId="9" borderId="0" xfId="0" applyNumberFormat="1" applyFont="1" applyFill="1" applyBorder="1" applyAlignment="1">
      <x:alignment horizontal="center" vertical="center" wrapText="1"/>
    </x:xf>
    <x:xf numFmtId="166" fontId="16" fillId="10" borderId="0" xfId="0" applyNumberFormat="1" applyFont="1" applyFill="1" applyBorder="1" applyAlignment="1">
      <x:alignment horizontal="center" vertical="center" wrapText="1"/>
    </x:xf>
    <x:xf numFmtId="165" fontId="1" fillId="2" borderId="0" xfId="0" applyNumberFormat="1" applyFont="1" applyFill="1" applyBorder="1" applyAlignment="1">
      <x:alignment horizontal="left" vertical="center" wrapText="1"/>
    </x:xf>
    <x:xf numFmtId="166" fontId="21" fillId="8" borderId="0" xfId="0" applyNumberFormat="1" applyFont="1" applyFill="1" applyBorder="1" applyAlignment="1">
      <x:alignment horizontal="center" vertical="center" wrapText="1"/>
    </x:xf>
    <x:xf numFmtId="166" fontId="16" fillId="9" borderId="0" xfId="0" applyNumberFormat="1" applyFont="1" applyFill="1" applyBorder="1" applyAlignment="1">
      <x:alignment horizontal="center" vertical="center" wrapText="1"/>
    </x:xf>
    <x:xf numFmtId="0" fontId="37" fillId="11" borderId="0" xfId="0" applyNumberFormat="1" applyFont="1" applyFill="1" applyBorder="1" applyAlignment="1">
      <x:alignment vertical="center"/>
    </x:xf>
    <x:xf numFmtId="0" fontId="37" fillId="11" borderId="11" xfId="0" applyNumberFormat="1" applyFont="1" applyFill="1" applyBorder="1" applyAlignment="1">
      <x:alignment vertical="center"/>
    </x:xf>
    <x:xf numFmtId="0" fontId="37" fillId="11" borderId="0" xfId="0" applyNumberFormat="1" applyFont="1" applyFill="1" applyBorder="1" applyAlignment="1">
      <x:alignment horizontal="center" vertical="center"/>
    </x:xf>
    <x:xf numFmtId="0" fontId="37" fillId="11" borderId="11" xfId="0" applyNumberFormat="1" applyFont="1" applyFill="1" applyBorder="1" applyAlignment="1">
      <x:alignment horizontal="center" vertical="center"/>
    </x:xf>
    <x:xf numFmtId="172" fontId="16" fillId="13" borderId="0" xfId="0" applyNumberFormat="1" applyFont="1" applyFill="1" applyBorder="1" applyAlignment="1">
      <x:alignment horizontal="center" vertical="center" wrapText="1"/>
    </x:xf>
    <x:xf numFmtId="172" fontId="39" fillId="13" borderId="0" xfId="0" applyNumberFormat="1" applyFont="1" applyFill="1" applyBorder="1" applyAlignment="1">
      <x:alignment horizontal="center" vertical="center" wrapText="1"/>
    </x:xf>
    <x:xf numFmtId="172" fontId="39" fillId="13" borderId="0" xfId="0" applyNumberFormat="1" applyFont="1" applyFill="1" applyBorder="1" applyAlignment="1">
      <x:alignment horizontal="left" vertical="center" wrapText="1"/>
    </x:xf>
    <x:xf numFmtId="172" fontId="16" fillId="13" borderId="11" xfId="0" applyNumberFormat="1" applyFont="1" applyFill="1" applyBorder="1" applyAlignment="1">
      <x:alignment horizontal="center" vertical="center" wrapText="1"/>
    </x:xf>
    <x:xf numFmtId="172" fontId="39" fillId="13" borderId="11" xfId="0" applyNumberFormat="1" applyFont="1" applyFill="1" applyBorder="1" applyAlignment="1">
      <x:alignment horizontal="center" vertical="center" wrapText="1"/>
    </x:xf>
    <x:xf numFmtId="172" fontId="39" fillId="13" borderId="11" xfId="0" applyNumberFormat="1" applyFont="1" applyFill="1" applyBorder="1" applyAlignment="1">
      <x:alignment horizontal="left" vertical="center" wrapText="1"/>
    </x:xf>
    <x:xf numFmtId="172" fontId="16" fillId="2" borderId="0" xfId="0" applyNumberFormat="1" applyFont="1" applyFill="1" applyBorder="1" applyAlignment="1">
      <x:alignment horizontal="center" vertical="center" wrapText="1"/>
    </x:xf>
    <x:xf numFmtId="210" fontId="39" fillId="13" borderId="0" xfId="0" applyNumberFormat="1" applyFont="1" applyFill="1" applyBorder="1" applyAlignment="1">
      <x:alignment horizontal="center" vertical="center" wrapText="1"/>
    </x:xf>
    <x:xf numFmtId="210" fontId="39" fillId="13" borderId="11" xfId="0" applyNumberFormat="1" applyFont="1" applyFill="1" applyBorder="1" applyAlignment="1">
      <x:alignment horizontal="center" vertical="center" wrapText="1"/>
    </x:xf>
    <x:xf numFmtId="211" fontId="39" fillId="14" borderId="0" xfId="0" applyNumberFormat="1" applyFont="1" applyFill="1" applyBorder="1" applyAlignment="1">
      <x:alignment horizontal="center" vertical="center" wrapText="1"/>
    </x:xf>
    <x:xf numFmtId="211" fontId="39" fillId="14" borderId="11" xfId="0" applyNumberFormat="1" applyFont="1" applyFill="1" applyBorder="1" applyAlignment="1">
      <x:alignment horizontal="center" vertical="center" wrapText="1"/>
    </x:xf>
    <x:xf numFmtId="172" fontId="39" fillId="14" borderId="0" xfId="0" applyNumberFormat="1" applyFont="1" applyFill="1" applyBorder="1" applyAlignment="1">
      <x:alignment horizontal="center" vertical="center" wrapText="1"/>
    </x:xf>
    <x:xf numFmtId="172" fontId="39" fillId="14" borderId="11" xfId="0" applyNumberFormat="1" applyFont="1" applyFill="1" applyBorder="1" applyAlignment="1">
      <x:alignment horizontal="center" vertical="center" wrapText="1"/>
    </x:xf>
    <x:xf numFmtId="164" fontId="1" fillId="2" borderId="0" xfId="0" applyNumberFormat="1" applyFont="1" applyFill="1" applyBorder="1" applyAlignment="1">
      <x:alignment horizontal="center" vertical="center" wrapText="1"/>
    </x:xf>
    <x:xf numFmtId="164" fontId="1" fillId="5" borderId="0" xfId="0" applyNumberFormat="1" applyFont="1" applyFill="1" applyBorder="1" applyAlignment="1">
      <x:alignment horizontal="center" vertical="center" wrapText="1"/>
    </x:xf>
    <x:xf numFmtId="166" fontId="39" fillId="15" borderId="0" xfId="0" applyNumberFormat="1" applyFont="1" applyFill="1" applyBorder="1" applyAlignment="1">
      <x:alignment horizontal="center" vertical="center" wrapText="1"/>
    </x:xf>
    <x:xf numFmtId="166" fontId="47" fillId="15" borderId="0" xfId="0" applyNumberFormat="1" applyFont="1" applyFill="1" applyBorder="1" applyAlignment="1">
      <x:alignment horizontal="center" vertical="center" wrapText="1"/>
    </x:xf>
    <x:xf numFmtId="166" fontId="39" fillId="15" borderId="11" xfId="0" applyNumberFormat="1" applyFont="1" applyFill="1" applyBorder="1" applyAlignment="1">
      <x:alignment horizontal="center" vertical="center" wrapText="1"/>
    </x:xf>
    <x:xf numFmtId="166" fontId="47" fillId="15" borderId="11" xfId="0" applyNumberFormat="1" applyFont="1" applyFill="1" applyBorder="1" applyAlignment="1">
      <x:alignment horizontal="center" vertical="center" wrapText="1"/>
    </x:xf>
    <x:xf numFmtId="173" fontId="16" fillId="13" borderId="0" xfId="0" applyNumberFormat="1" applyFont="1" applyFill="1" applyBorder="1" applyAlignment="1">
      <x:alignment horizontal="center" vertical="center" wrapText="1"/>
    </x:xf>
    <x:xf numFmtId="173" fontId="39" fillId="13" borderId="0" xfId="0" applyNumberFormat="1" applyFont="1" applyFill="1" applyBorder="1" applyAlignment="1">
      <x:alignment horizontal="left" vertical="center" wrapText="1"/>
    </x:xf>
    <x:xf numFmtId="173" fontId="16" fillId="13" borderId="11" xfId="0" applyNumberFormat="1" applyFont="1" applyFill="1" applyBorder="1" applyAlignment="1">
      <x:alignment horizontal="center" vertical="center" wrapText="1"/>
    </x:xf>
    <x:xf numFmtId="173" fontId="39" fillId="13" borderId="11" xfId="0" applyNumberFormat="1" applyFont="1" applyFill="1" applyBorder="1" applyAlignment="1">
      <x:alignment horizontal="left" vertical="center" wrapText="1"/>
    </x:xf>
    <x:xf numFmtId="1" fontId="16" fillId="13" borderId="0" xfId="0" applyNumberFormat="1" applyFont="1" applyFill="1" applyBorder="1" applyAlignment="1">
      <x:alignment horizontal="center" vertical="center" wrapText="1"/>
    </x:xf>
    <x:xf numFmtId="1" fontId="39" fillId="13" borderId="0" xfId="0" applyNumberFormat="1" applyFont="1" applyFill="1" applyBorder="1" applyAlignment="1">
      <x:alignment horizontal="center" vertical="center" wrapText="1"/>
    </x:xf>
    <x:xf numFmtId="1" fontId="39" fillId="13" borderId="0" xfId="0" applyNumberFormat="1" applyFont="1" applyFill="1" applyBorder="1" applyAlignment="1">
      <x:alignment horizontal="left" vertical="center" wrapText="1"/>
    </x:xf>
    <x:xf numFmtId="1" fontId="16" fillId="13" borderId="11" xfId="0" applyNumberFormat="1" applyFont="1" applyFill="1" applyBorder="1" applyAlignment="1">
      <x:alignment horizontal="center" vertical="center" wrapText="1"/>
    </x:xf>
    <x:xf numFmtId="1" fontId="39" fillId="13" borderId="11" xfId="0" applyNumberFormat="1" applyFont="1" applyFill="1" applyBorder="1" applyAlignment="1">
      <x:alignment horizontal="center" vertical="center" wrapText="1"/>
    </x:xf>
    <x:xf numFmtId="1" fontId="39" fillId="13" borderId="11" xfId="0" applyNumberFormat="1" applyFont="1" applyFill="1" applyBorder="1" applyAlignment="1">
      <x:alignment horizontal="left" vertical="center" wrapText="1"/>
    </x:xf>
    <x:xf numFmtId="1" fontId="22" fillId="5" borderId="0" xfId="0" applyNumberFormat="1" applyFont="1" applyFill="1" applyBorder="1" applyAlignment="1">
      <x:alignment horizontal="center" vertical="center" wrapText="1"/>
    </x:xf>
    <x:xf numFmtId="1" fontId="22" fillId="2" borderId="0" xfId="0" applyNumberFormat="1" applyFont="1" applyFill="1" applyBorder="1" applyAlignment="1">
      <x:alignment horizontal="center" vertical="center" wrapText="1"/>
    </x:xf>
    <x:xf numFmtId="165" fontId="22" fillId="5" borderId="0" xfId="0" applyNumberFormat="1" applyFont="1" applyFill="1" applyBorder="1" applyAlignment="1">
      <x:alignment horizontal="center" vertical="center" wrapText="1"/>
    </x:xf>
    <x:xf numFmtId="166" fontId="22" fillId="2" borderId="0" xfId="0" applyNumberFormat="1" applyFont="1" applyFill="1" applyBorder="1" applyAlignment="1">
      <x:alignment horizontal="center" vertical="center" wrapText="1"/>
    </x:xf>
    <x:xf numFmtId="166" fontId="22" fillId="5" borderId="0" xfId="0" applyNumberFormat="1" applyFont="1" applyFill="1" applyBorder="1" applyAlignment="1">
      <x:alignment horizontal="center" vertical="center" wrapText="1"/>
    </x:xf>
    <x:xf numFmtId="167" fontId="22" fillId="2" borderId="0" xfId="0" applyNumberFormat="1" applyFont="1" applyFill="1" applyBorder="1" applyAlignment="1">
      <x:alignment horizontal="center" vertical="center" wrapText="1"/>
    </x:xf>
    <x:xf numFmtId="1" fontId="22" fillId="2" borderId="0" xfId="0" applyNumberFormat="1" applyFont="1" applyFill="1" applyBorder="1" applyAlignment="1">
      <x:alignment horizontal="left" vertical="center" wrapText="1"/>
    </x:xf>
    <x:xf numFmtId="1" fontId="22" fillId="5" borderId="0" xfId="0" applyNumberFormat="1" applyFont="1" applyFill="1" applyBorder="1" applyAlignment="1">
      <x:alignment horizontal="left" vertical="center" wrapText="1"/>
    </x:xf>
    <x:xf numFmtId="166" fontId="22" fillId="5" borderId="0" xfId="0" applyNumberFormat="1" applyFont="1" applyFill="1" applyBorder="1" applyAlignment="1">
      <x:alignment horizontal="left" vertical="center" wrapText="1"/>
    </x:xf>
    <x:xf numFmtId="166" fontId="22" fillId="2" borderId="0" xfId="0" applyNumberFormat="1" applyFont="1" applyFill="1" applyBorder="1" applyAlignment="1">
      <x:alignment horizontal="left" vertical="center" wrapText="1"/>
    </x:xf>
    <x:xf numFmtId="1" fontId="39" fillId="14" borderId="0" xfId="0" applyNumberFormat="1" applyFont="1" applyFill="1" applyBorder="1" applyAlignment="1">
      <x:alignment horizontal="center" vertical="center" wrapText="1"/>
    </x:xf>
    <x:xf numFmtId="1" fontId="39" fillId="14" borderId="11" xfId="0" applyNumberFormat="1" applyFont="1" applyFill="1" applyBorder="1" applyAlignment="1">
      <x:alignment horizontal="center" vertical="center" wrapText="1"/>
    </x:xf>
    <x:xf numFmtId="210" fontId="39" fillId="14" borderId="0" xfId="0" applyNumberFormat="1" applyFont="1" applyFill="1" applyBorder="1" applyAlignment="1">
      <x:alignment horizontal="center" vertical="center" wrapText="1"/>
    </x:xf>
    <x:xf numFmtId="210" fontId="39" fillId="14" borderId="11" xfId="0" applyNumberFormat="1" applyFont="1" applyFill="1" applyBorder="1" applyAlignment="1">
      <x:alignment horizontal="center" vertical="center" wrapText="1"/>
    </x:xf>
    <x:xf numFmtId="1" fontId="16" fillId="5" borderId="0" xfId="0" applyNumberFormat="1" applyFont="1" applyFill="1" applyBorder="1" applyAlignment="1">
      <x:alignment horizontal="center" vertical="center" wrapText="1"/>
    </x:xf>
    <x:xf numFmtId="1" fontId="16" fillId="2" borderId="0" xfId="0" applyNumberFormat="1" applyFont="1" applyFill="1" applyBorder="1" applyAlignment="1">
      <x:alignment horizontal="center" vertical="center" wrapText="1"/>
    </x:xf>
    <x:xf numFmtId="172" fontId="16" fillId="5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center" vertical="center" wrapText="1"/>
    </x:xf>
    <x:xf numFmtId="203" fontId="39" fillId="12" borderId="0" xfId="0" applyNumberFormat="1" applyFont="1" applyFill="1" applyBorder="1" applyAlignment="1">
      <x:alignment horizontal="center" vertical="center" wrapText="1"/>
    </x:xf>
    <x:xf numFmtId="203" fontId="38" fillId="12" borderId="0" xfId="0" applyNumberFormat="1" applyFont="1" applyFill="1" applyBorder="1" applyAlignment="1">
      <x:alignment horizontal="center" vertical="center" wrapText="1"/>
    </x:xf>
    <x:xf numFmtId="203" fontId="39" fillId="12" borderId="11" xfId="0" applyNumberFormat="1" applyFont="1" applyFill="1" applyBorder="1" applyAlignment="1">
      <x:alignment horizontal="center" vertical="center" wrapText="1"/>
    </x:xf>
    <x:xf numFmtId="203" fontId="38" fillId="12" borderId="11" xfId="0" applyNumberFormat="1" applyFont="1" applyFill="1" applyBorder="1" applyAlignment="1">
      <x:alignment horizontal="center" vertical="center" wrapText="1"/>
    </x:xf>
    <x:xf numFmtId="165" fontId="38" fillId="12" borderId="0" xfId="0" applyNumberFormat="1" applyFont="1" applyFill="1" applyBorder="1" applyAlignment="1">
      <x:alignment horizontal="center" vertical="center" wrapText="1"/>
    </x:xf>
    <x:xf numFmtId="165" fontId="38" fillId="12" borderId="11" xfId="0" applyNumberFormat="1" applyFont="1" applyFill="1" applyBorder="1" applyAlignment="1">
      <x:alignment horizontal="center" vertical="center" wrapText="1"/>
    </x:xf>
    <x:xf numFmtId="166" fontId="38" fillId="12" borderId="0" xfId="0" applyNumberFormat="1" applyFont="1" applyFill="1" applyBorder="1" applyAlignment="1">
      <x:alignment horizontal="center" vertical="center" wrapText="1"/>
    </x:xf>
    <x:xf numFmtId="166" fontId="38" fillId="12" borderId="11" xfId="0" applyNumberFormat="1" applyFont="1" applyFill="1" applyBorder="1" applyAlignment="1">
      <x:alignment horizontal="center" vertical="center" wrapText="1"/>
    </x:xf>
    <x:xf numFmtId="202" fontId="38" fillId="12" borderId="0" xfId="0" applyNumberFormat="1" applyFont="1" applyFill="1" applyBorder="1" applyAlignment="1">
      <x:alignment horizontal="center" vertical="center" wrapText="1"/>
    </x:xf>
    <x:xf numFmtId="202" fontId="38" fillId="12" borderId="11" xfId="0" applyNumberFormat="1" applyFont="1" applyFill="1" applyBorder="1" applyAlignment="1">
      <x:alignment horizontal="center" vertical="center" wrapText="1"/>
    </x:xf>
    <x:xf numFmtId="212" fontId="2" fillId="7" borderId="0" xfId="0" applyNumberFormat="1" applyFont="1" applyFill="1" applyBorder="1" applyAlignment="1">
      <x:alignment horizontal="center" vertical="center" wrapText="1"/>
    </x:xf>
    <x:xf numFmtId="212" fontId="2" fillId="7" borderId="11" xfId="0" applyNumberFormat="1" applyFont="1" applyFill="1" applyBorder="1" applyAlignment="1">
      <x:alignment horizontal="center" vertical="center" wrapText="1"/>
    </x:xf>
    <x:xf numFmtId="213" fontId="2" fillId="7" borderId="0" xfId="0" applyNumberFormat="1" applyFont="1" applyFill="1" applyBorder="1" applyAlignment="1">
      <x:alignment horizontal="center" vertical="center" wrapText="1"/>
    </x:xf>
    <x:xf numFmtId="213" fontId="2" fillId="7" borderId="11" xfId="0" applyNumberFormat="1" applyFont="1" applyFill="1" applyBorder="1" applyAlignment="1">
      <x:alignment horizontal="center" vertical="center" wrapText="1"/>
    </x:xf>
    <x:xf numFmtId="214" fontId="2" fillId="7" borderId="0" xfId="0" applyNumberFormat="1" applyFont="1" applyFill="1" applyBorder="1" applyAlignment="1">
      <x:alignment horizontal="center" vertical="center" wrapText="1"/>
    </x:xf>
    <x:xf numFmtId="214" fontId="2" fillId="7" borderId="11" xfId="0" applyNumberFormat="1" applyFont="1" applyFill="1" applyBorder="1" applyAlignment="1">
      <x:alignment horizontal="center" vertical="center" wrapText="1"/>
    </x:xf>
    <x:xf numFmtId="213" fontId="20" fillId="7" borderId="0" xfId="0" applyNumberFormat="1" applyFont="1" applyFill="1" applyBorder="1" applyAlignment="1">
      <x:alignment horizontal="center" vertical="center" wrapText="1"/>
    </x:xf>
    <x:xf numFmtId="213" fontId="20" fillId="7" borderId="11" xfId="0" applyNumberFormat="1" applyFont="1" applyFill="1" applyBorder="1" applyAlignment="1">
      <x:alignment horizontal="center" vertical="center" wrapText="1"/>
    </x:xf>
    <x:xf numFmtId="202" fontId="2" fillId="7" borderId="0" xfId="0" applyNumberFormat="1" applyFont="1" applyFill="1" applyBorder="1" applyAlignment="1">
      <x:alignment horizontal="center" vertical="center" wrapText="1"/>
    </x:xf>
    <x:xf numFmtId="202" fontId="2" fillId="7" borderId="11" xfId="0" applyNumberFormat="1" applyFont="1" applyFill="1" applyBorder="1" applyAlignment="1">
      <x:alignment horizontal="center" vertical="center" wrapText="1"/>
    </x:xf>
    <x:xf numFmtId="201" fontId="2" fillId="7" borderId="0" xfId="0" applyNumberFormat="1" applyFont="1" applyFill="1" applyBorder="1" applyAlignment="1">
      <x:alignment horizontal="center" vertical="center" wrapText="1"/>
    </x:xf>
    <x:xf numFmtId="201" fontId="2" fillId="7" borderId="11" xfId="0" applyNumberFormat="1" applyFont="1" applyFill="1" applyBorder="1" applyAlignment="1">
      <x:alignment horizontal="center" vertical="center" wrapText="1"/>
    </x:xf>
    <x:xf numFmtId="215" fontId="2" fillId="7" borderId="0" xfId="0" applyNumberFormat="1" applyFont="1" applyFill="1" applyBorder="1" applyAlignment="1">
      <x:alignment horizontal="center" vertical="center" wrapText="1"/>
    </x:xf>
    <x:xf numFmtId="215" fontId="2" fillId="7" borderId="11" xfId="0" applyNumberFormat="1" applyFont="1" applyFill="1" applyBorder="1" applyAlignment="1">
      <x:alignment horizontal="center" vertical="center" wrapText="1"/>
    </x:xf>
    <x:xf numFmtId="216" fontId="2" fillId="7" borderId="0" xfId="0" applyNumberFormat="1" applyFont="1" applyFill="1" applyBorder="1" applyAlignment="1">
      <x:alignment horizontal="center" vertical="center" wrapText="1"/>
    </x:xf>
    <x:xf numFmtId="216" fontId="2" fillId="7" borderId="11" xfId="0" applyNumberFormat="1" applyFont="1" applyFill="1" applyBorder="1" applyAlignment="1">
      <x:alignment horizontal="center" vertical="center" wrapText="1"/>
    </x:xf>
    <x:xf numFmtId="213" fontId="16" fillId="2" borderId="0" xfId="0" applyNumberFormat="1" applyFont="1" applyFill="1" applyBorder="1" applyAlignment="1">
      <x:alignment horizontal="center" vertical="center" wrapText="1"/>
    </x:xf>
    <x:xf numFmtId="213" fontId="16" fillId="2" borderId="11" xfId="0" applyNumberFormat="1" applyFont="1" applyFill="1" applyBorder="1" applyAlignment="1">
      <x:alignment horizontal="center" vertical="center" wrapText="1"/>
    </x:xf>
    <x:xf numFmtId="213" fontId="1" fillId="2" borderId="0" xfId="0" applyNumberFormat="1" applyFont="1" applyFill="1" applyBorder="1" applyAlignment="1">
      <x:alignment horizontal="center" vertical="center" wrapText="1"/>
    </x:xf>
    <x:xf numFmtId="213" fontId="1" fillId="2" borderId="11" xfId="0" applyNumberFormat="1" applyFont="1" applyFill="1" applyBorder="1" applyAlignment="1">
      <x:alignment horizontal="center" vertical="center" wrapText="1"/>
    </x:xf>
    <x:xf numFmtId="213" fontId="16" fillId="5" borderId="0" xfId="0" applyNumberFormat="1" applyFont="1" applyFill="1" applyBorder="1" applyAlignment="1">
      <x:alignment horizontal="center" vertical="center" wrapText="1"/>
    </x:xf>
    <x:xf numFmtId="213" fontId="16" fillId="5" borderId="11" xfId="0" applyNumberFormat="1" applyFont="1" applyFill="1" applyBorder="1" applyAlignment="1">
      <x:alignment horizontal="center" vertical="center" wrapText="1"/>
    </x:xf>
    <x:xf numFmtId="215" fontId="16" fillId="5" borderId="0" xfId="0" applyNumberFormat="1" applyFont="1" applyFill="1" applyBorder="1" applyAlignment="1">
      <x:alignment horizontal="center" vertical="center" wrapText="1"/>
    </x:xf>
    <x:xf numFmtId="215" fontId="16" fillId="5" borderId="11" xfId="0" applyNumberFormat="1" applyFont="1" applyFill="1" applyBorder="1" applyAlignment="1">
      <x:alignment horizontal="center" vertical="center" wrapText="1"/>
    </x:xf>
    <x:xf numFmtId="213" fontId="1" fillId="5" borderId="0" xfId="0" applyNumberFormat="1" applyFont="1" applyFill="1" applyBorder="1" applyAlignment="1">
      <x:alignment horizontal="center" vertical="center" wrapText="1"/>
    </x:xf>
    <x:xf numFmtId="213" fontId="1" fillId="5" borderId="11" xfId="0" applyNumberFormat="1" applyFont="1" applyFill="1" applyBorder="1" applyAlignment="1">
      <x:alignment horizontal="center" vertical="center" wrapText="1"/>
    </x:xf>
    <x:xf numFmtId="216" fontId="16" fillId="2" borderId="0" xfId="0" applyNumberFormat="1" applyFont="1" applyFill="1" applyBorder="1" applyAlignment="1">
      <x:alignment horizontal="center" vertical="center" wrapText="1"/>
    </x:xf>
    <x:xf numFmtId="216" fontId="16" fillId="2" borderId="11" xfId="0" applyNumberFormat="1" applyFont="1" applyFill="1" applyBorder="1" applyAlignment="1">
      <x:alignment horizontal="center" vertical="center" wrapText="1"/>
    </x:xf>
    <x:xf numFmtId="214" fontId="1" fillId="5" borderId="0" xfId="0" applyNumberFormat="1" applyFont="1" applyFill="1" applyBorder="1" applyAlignment="1">
      <x:alignment horizontal="center" vertical="center" wrapText="1"/>
    </x:xf>
    <x:xf numFmtId="214" fontId="1" fillId="5" borderId="11" xfId="0" applyNumberFormat="1" applyFont="1" applyFill="1" applyBorder="1" applyAlignment="1">
      <x:alignment horizontal="center" vertical="center" wrapText="1"/>
    </x:xf>
    <x:xf numFmtId="214" fontId="1" fillId="2" borderId="0" xfId="0" applyNumberFormat="1" applyFont="1" applyFill="1" applyBorder="1" applyAlignment="1">
      <x:alignment horizontal="center" vertical="center" wrapText="1"/>
    </x:xf>
    <x:xf numFmtId="214" fontId="1" fillId="2" borderId="11" xfId="0" applyNumberFormat="1" applyFont="1" applyFill="1" applyBorder="1" applyAlignment="1">
      <x:alignment horizontal="center" vertical="center" wrapText="1"/>
    </x:xf>
    <x:xf numFmtId="214" fontId="15" fillId="3" borderId="10" xfId="0" applyNumberFormat="1" applyFont="1" applyFill="1" applyBorder="1" applyAlignment="1">
      <x:alignment horizontal="center" vertical="center" wrapText="1"/>
    </x:xf>
    <x:xf numFmtId="214" fontId="15" fillId="3" borderId="12" xfId="0" applyNumberFormat="1" applyFont="1" applyFill="1" applyBorder="1" applyAlignment="1">
      <x:alignment horizontal="center" vertical="center" wrapText="1"/>
    </x:xf>
    <x:xf numFmtId="214" fontId="16" fillId="2" borderId="0" xfId="0" applyNumberFormat="1" applyFont="1" applyFill="1" applyBorder="1" applyAlignment="1">
      <x:alignment horizontal="center" vertical="center" wrapText="1"/>
    </x:xf>
    <x:xf numFmtId="214" fontId="16" fillId="2" borderId="11" xfId="0" applyNumberFormat="1" applyFont="1" applyFill="1" applyBorder="1" applyAlignment="1">
      <x:alignment horizontal="center" vertical="center" wrapText="1"/>
    </x:xf>
    <x:xf numFmtId="215" fontId="16" fillId="2" borderId="0" xfId="0" applyNumberFormat="1" applyFont="1" applyFill="1" applyBorder="1" applyAlignment="1">
      <x:alignment horizontal="center" vertical="center" wrapText="1"/>
    </x:xf>
    <x:xf numFmtId="215" fontId="16" fillId="2" borderId="11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201" fontId="1" fillId="5" borderId="1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1" xfId="0" applyNumberFormat="1" applyFont="1" applyFill="1" applyBorder="1" applyAlignment="1">
      <x:alignment horizontal="center" vertical="center" wrapText="1"/>
    </x:xf>
    <x:xf numFmtId="213" fontId="13" fillId="4" borderId="10" xfId="0" applyNumberFormat="1" applyFont="1" applyFill="1" applyBorder="1" applyAlignment="1">
      <x:alignment horizontal="center" vertical="center" wrapText="1"/>
    </x:xf>
    <x:xf numFmtId="213" fontId="13" fillId="4" borderId="12" xfId="0" applyNumberFormat="1" applyFont="1" applyFill="1" applyBorder="1" applyAlignment="1">
      <x:alignment horizontal="center" vertical="center" wrapText="1"/>
    </x:xf>
    <x:xf numFmtId="212" fontId="16" fillId="2" borderId="0" xfId="0" applyNumberFormat="1" applyFont="1" applyFill="1" applyBorder="1" applyAlignment="1">
      <x:alignment horizontal="center" vertical="center" wrapText="1"/>
    </x:xf>
    <x:xf numFmtId="212" fontId="16" fillId="2" borderId="11" xfId="0" applyNumberFormat="1" applyFont="1" applyFill="1" applyBorder="1" applyAlignment="1">
      <x:alignment horizontal="center" vertical="center" wrapText="1"/>
    </x:xf>
    <x:xf numFmtId="214" fontId="16" fillId="5" borderId="0" xfId="0" applyNumberFormat="1" applyFont="1" applyFill="1" applyBorder="1" applyAlignment="1">
      <x:alignment horizontal="center" vertical="center" wrapText="1"/>
    </x:xf>
    <x:xf numFmtId="214" fontId="16" fillId="5" borderId="11" xfId="0" applyNumberFormat="1" applyFont="1" applyFill="1" applyBorder="1" applyAlignment="1">
      <x:alignment horizontal="center" vertical="center" wrapText="1"/>
    </x:xf>
    <x:xf numFmtId="205" fontId="1" fillId="2" borderId="0" xfId="0" applyNumberFormat="1" applyFont="1" applyFill="1" applyBorder="1" applyAlignment="1">
      <x:alignment horizontal="center" vertical="center" wrapText="1"/>
    </x:xf>
    <x:xf numFmtId="205" fontId="1" fillId="2" borderId="11" xfId="0" applyNumberFormat="1" applyFont="1" applyFill="1" applyBorder="1" applyAlignment="1">
      <x:alignment horizontal="center" vertical="center" wrapText="1"/>
    </x:xf>
    <x:xf numFmtId="205" fontId="15" fillId="3" borderId="10" xfId="0" applyNumberFormat="1" applyFont="1" applyFill="1" applyBorder="1" applyAlignment="1">
      <x:alignment horizontal="center" vertical="center" wrapText="1"/>
    </x:xf>
    <x:xf numFmtId="205" fontId="15" fillId="3" borderId="12" xfId="0" applyNumberFormat="1" applyFont="1" applyFill="1" applyBorder="1" applyAlignment="1">
      <x:alignment horizontal="center" vertical="center" wrapText="1"/>
    </x:xf>
    <x:xf numFmtId="201" fontId="15" fillId="3" borderId="10" xfId="0" applyNumberFormat="1" applyFont="1" applyFill="1" applyBorder="1" applyAlignment="1">
      <x:alignment horizontal="center" vertical="center" wrapText="1"/>
    </x:xf>
    <x:xf numFmtId="201" fontId="15" fillId="3" borderId="12" xfId="0" applyNumberFormat="1" applyFont="1" applyFill="1" applyBorder="1" applyAlignment="1">
      <x:alignment horizontal="center" vertical="center" wrapText="1"/>
    </x:xf>
    <x:xf numFmtId="204" fontId="16" fillId="2" borderId="0" xfId="0" applyNumberFormat="1" applyFont="1" applyFill="1" applyBorder="1" applyAlignment="1">
      <x:alignment horizontal="center" vertical="center" wrapText="1"/>
    </x:xf>
    <x:xf numFmtId="204" fontId="16" fillId="2" borderId="11" xfId="0" applyNumberFormat="1" applyFont="1" applyFill="1" applyBorder="1" applyAlignment="1">
      <x:alignment horizontal="center" vertical="center" wrapText="1"/>
    </x:xf>
    <x:xf numFmtId="205" fontId="16" fillId="2" borderId="0" xfId="0" applyNumberFormat="1" applyFont="1" applyFill="1" applyBorder="1" applyAlignment="1">
      <x:alignment horizontal="center" vertical="center" wrapText="1"/>
    </x:xf>
    <x:xf numFmtId="205" fontId="16" fillId="2" borderId="11" xfId="0" applyNumberFormat="1" applyFont="1" applyFill="1" applyBorder="1" applyAlignment="1">
      <x:alignment horizontal="center" vertical="center" wrapText="1"/>
    </x:xf>
    <x:xf numFmtId="205" fontId="16" fillId="5" borderId="0" xfId="0" applyNumberFormat="1" applyFont="1" applyFill="1" applyBorder="1" applyAlignment="1">
      <x:alignment horizontal="center" vertical="center" wrapText="1"/>
    </x:xf>
    <x:xf numFmtId="205" fontId="16" fillId="5" borderId="11" xfId="0" applyNumberFormat="1" applyFont="1" applyFill="1" applyBorder="1" applyAlignment="1">
      <x:alignment horizontal="center" vertical="center" wrapText="1"/>
    </x:xf>
    <x:xf numFmtId="213" fontId="1" fillId="2" borderId="0" xfId="0" applyNumberFormat="1" applyFont="1" applyFill="1" applyBorder="1" applyAlignment="1">
      <x:alignment horizontal="left" vertical="center" wrapText="1"/>
    </x:xf>
    <x:xf numFmtId="213" fontId="1" fillId="5" borderId="0" xfId="0" applyNumberFormat="1" applyFont="1" applyFill="1" applyBorder="1" applyAlignment="1">
      <x:alignment horizontal="left" vertical="center" wrapText="1"/>
    </x:xf>
    <x:xf numFmtId="213" fontId="1" fillId="2" borderId="11" xfId="0" applyNumberFormat="1" applyFont="1" applyFill="1" applyBorder="1" applyAlignment="1">
      <x:alignment horizontal="left" vertical="center" wrapText="1"/>
    </x:xf>
    <x:xf numFmtId="213" fontId="1" fillId="5" borderId="11" xfId="0" applyNumberFormat="1" applyFont="1" applyFill="1" applyBorder="1" applyAlignment="1">
      <x:alignment horizontal="left" vertical="center" wrapText="1"/>
    </x:xf>
    <x:xf numFmtId="217" fontId="1" fillId="2" borderId="0" xfId="0" applyNumberFormat="1" applyFont="1" applyFill="1" applyBorder="1" applyAlignment="1">
      <x:alignment horizontal="center" vertical="center" wrapText="1"/>
    </x:xf>
    <x:xf numFmtId="217" fontId="16" fillId="5" borderId="0" xfId="0" applyNumberFormat="1" applyFont="1" applyFill="1" applyBorder="1" applyAlignment="1">
      <x:alignment horizontal="center" vertical="center" wrapText="1"/>
    </x:xf>
    <x:xf numFmtId="217" fontId="16" fillId="2" borderId="0" xfId="0" applyNumberFormat="1" applyFont="1" applyFill="1" applyBorder="1" applyAlignment="1">
      <x:alignment horizontal="center" vertical="center" wrapText="1"/>
    </x:xf>
    <x:xf numFmtId="217" fontId="1" fillId="2" borderId="11" xfId="0" applyNumberFormat="1" applyFont="1" applyFill="1" applyBorder="1" applyAlignment="1">
      <x:alignment horizontal="center" vertical="center" wrapText="1"/>
    </x:xf>
    <x:xf numFmtId="217" fontId="16" fillId="5" borderId="11" xfId="0" applyNumberFormat="1" applyFont="1" applyFill="1" applyBorder="1" applyAlignment="1">
      <x:alignment horizontal="center" vertical="center" wrapText="1"/>
    </x:xf>
    <x:xf numFmtId="217" fontId="16" fillId="2" borderId="1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left" vertical="center" wrapText="1"/>
    </x:xf>
    <x:xf numFmtId="202" fontId="1" fillId="5" borderId="0" xfId="0" applyNumberFormat="1" applyFont="1" applyFill="1" applyBorder="1" applyAlignment="1">
      <x:alignment horizontal="left" vertical="center" wrapText="1"/>
    </x:xf>
    <x:xf numFmtId="202" fontId="15" fillId="3" borderId="10" xfId="0" applyNumberFormat="1" applyFont="1" applyFill="1" applyBorder="1" applyAlignment="1">
      <x:alignment horizontal="left" vertical="center" wrapText="1"/>
    </x:xf>
    <x:xf numFmtId="202" fontId="1" fillId="2" borderId="11" xfId="0" applyNumberFormat="1" applyFont="1" applyFill="1" applyBorder="1" applyAlignment="1">
      <x:alignment horizontal="left" vertical="center" wrapText="1"/>
    </x:xf>
    <x:xf numFmtId="202" fontId="1" fillId="5" borderId="11" xfId="0" applyNumberFormat="1" applyFont="1" applyFill="1" applyBorder="1" applyAlignment="1">
      <x:alignment horizontal="left" vertical="center" wrapText="1"/>
    </x:xf>
    <x:xf numFmtId="202" fontId="15" fillId="3" borderId="12" xfId="0" applyNumberFormat="1" applyFont="1" applyFill="1" applyBorder="1" applyAlignment="1">
      <x:alignment horizontal="left" vertical="center" wrapText="1"/>
    </x:xf>
    <x:xf numFmtId="202" fontId="13" fillId="4" borderId="10" xfId="0" applyNumberFormat="1" applyFont="1" applyFill="1" applyBorder="1" applyAlignment="1">
      <x:alignment horizontal="center" vertical="center" wrapText="1"/>
    </x:xf>
    <x:xf numFmtId="202" fontId="13" fillId="4" borderId="12" xfId="0" applyNumberFormat="1" applyFont="1" applyFill="1" applyBorder="1" applyAlignment="1">
      <x:alignment horizontal="center" vertical="center" wrapText="1"/>
    </x:xf>
    <x:xf numFmtId="214" fontId="1" fillId="5" borderId="0" xfId="0" applyNumberFormat="1" applyFont="1" applyFill="1" applyBorder="1" applyAlignment="1">
      <x:alignment horizontal="left" vertical="center" wrapText="1"/>
    </x:xf>
    <x:xf numFmtId="214" fontId="1" fillId="2" borderId="0" xfId="0" applyNumberFormat="1" applyFont="1" applyFill="1" applyBorder="1" applyAlignment="1">
      <x:alignment horizontal="left" vertical="center" wrapText="1"/>
    </x:xf>
    <x:xf numFmtId="214" fontId="15" fillId="3" borderId="10" xfId="0" applyNumberFormat="1" applyFont="1" applyFill="1" applyBorder="1" applyAlignment="1">
      <x:alignment horizontal="left" vertical="center" wrapText="1"/>
    </x:xf>
    <x:xf numFmtId="214" fontId="1" fillId="5" borderId="11" xfId="0" applyNumberFormat="1" applyFont="1" applyFill="1" applyBorder="1" applyAlignment="1">
      <x:alignment horizontal="left" vertical="center" wrapText="1"/>
    </x:xf>
    <x:xf numFmtId="214" fontId="1" fillId="2" borderId="11" xfId="0" applyNumberFormat="1" applyFont="1" applyFill="1" applyBorder="1" applyAlignment="1">
      <x:alignment horizontal="left" vertical="center" wrapText="1"/>
    </x:xf>
    <x:xf numFmtId="214" fontId="15" fillId="3" borderId="12" xfId="0" applyNumberFormat="1" applyFont="1" applyFill="1" applyBorder="1" applyAlignment="1">
      <x:alignment horizontal="left" vertical="center" wrapText="1"/>
    </x:xf>
    <x:xf numFmtId="201" fontId="16" fillId="8" borderId="0" xfId="0" applyNumberFormat="1" applyFont="1" applyFill="1" applyBorder="1" applyAlignment="1">
      <x:alignment horizontal="center" vertical="center" wrapText="1"/>
    </x:xf>
    <x:xf numFmtId="201" fontId="21" fillId="9" borderId="0" xfId="0" applyNumberFormat="1" applyFont="1" applyFill="1" applyBorder="1" applyAlignment="1">
      <x:alignment horizontal="center" vertical="center" wrapText="1"/>
    </x:xf>
    <x:xf numFmtId="201" fontId="16" fillId="10" borderId="0" xfId="0" applyNumberFormat="1" applyFont="1" applyFill="1" applyBorder="1" applyAlignment="1">
      <x:alignment horizontal="center" vertical="center" wrapText="1"/>
    </x:xf>
    <x:xf numFmtId="201" fontId="21" fillId="8" borderId="0" xfId="0" applyNumberFormat="1" applyFont="1" applyFill="1" applyBorder="1" applyAlignment="1">
      <x:alignment horizontal="center" vertical="center" wrapText="1"/>
    </x:xf>
    <x:xf numFmtId="201" fontId="16" fillId="9" borderId="0" xfId="0" applyNumberFormat="1" applyFont="1" applyFill="1" applyBorder="1" applyAlignment="1">
      <x:alignment horizontal="center" vertical="center" wrapText="1"/>
    </x:xf>
    <x:xf numFmtId="201" fontId="15" fillId="5" borderId="10" xfId="0" applyNumberFormat="1" applyFont="1" applyFill="1" applyBorder="1" applyAlignment="1">
      <x:alignment horizontal="center" vertical="center" wrapText="1"/>
    </x:xf>
    <x:xf numFmtId="201" fontId="15" fillId="8" borderId="10" xfId="0" applyNumberFormat="1" applyFont="1" applyFill="1" applyBorder="1" applyAlignment="1">
      <x:alignment horizontal="center" vertical="center" wrapText="1"/>
    </x:xf>
    <x:xf numFmtId="201" fontId="15" fillId="9" borderId="10" xfId="0" applyNumberFormat="1" applyFont="1" applyFill="1" applyBorder="1" applyAlignment="1">
      <x:alignment horizontal="center" vertical="center" wrapText="1"/>
    </x:xf>
    <x:xf numFmtId="201" fontId="16" fillId="8" borderId="11" xfId="0" applyNumberFormat="1" applyFont="1" applyFill="1" applyBorder="1" applyAlignment="1">
      <x:alignment horizontal="center" vertical="center" wrapText="1"/>
    </x:xf>
    <x:xf numFmtId="201" fontId="21" fillId="9" borderId="11" xfId="0" applyNumberFormat="1" applyFont="1" applyFill="1" applyBorder="1" applyAlignment="1">
      <x:alignment horizontal="center" vertical="center" wrapText="1"/>
    </x:xf>
    <x:xf numFmtId="201" fontId="16" fillId="10" borderId="11" xfId="0" applyNumberFormat="1" applyFont="1" applyFill="1" applyBorder="1" applyAlignment="1">
      <x:alignment horizontal="center" vertical="center" wrapText="1"/>
    </x:xf>
    <x:xf numFmtId="201" fontId="21" fillId="8" borderId="11" xfId="0" applyNumberFormat="1" applyFont="1" applyFill="1" applyBorder="1" applyAlignment="1">
      <x:alignment horizontal="center" vertical="center" wrapText="1"/>
    </x:xf>
    <x:xf numFmtId="201" fontId="16" fillId="9" borderId="11" xfId="0" applyNumberFormat="1" applyFont="1" applyFill="1" applyBorder="1" applyAlignment="1">
      <x:alignment horizontal="center" vertical="center" wrapText="1"/>
    </x:xf>
    <x:xf numFmtId="201" fontId="15" fillId="5" borderId="12" xfId="0" applyNumberFormat="1" applyFont="1" applyFill="1" applyBorder="1" applyAlignment="1">
      <x:alignment horizontal="center" vertical="center" wrapText="1"/>
    </x:xf>
    <x:xf numFmtId="201" fontId="15" fillId="8" borderId="12" xfId="0" applyNumberFormat="1" applyFont="1" applyFill="1" applyBorder="1" applyAlignment="1">
      <x:alignment horizontal="center" vertical="center" wrapText="1"/>
    </x:xf>
    <x:xf numFmtId="201" fontId="15" fillId="9" borderId="12" xfId="0" applyNumberFormat="1" applyFont="1" applyFill="1" applyBorder="1" applyAlignment="1">
      <x:alignment horizontal="center" vertical="center" wrapText="1"/>
    </x:xf>
    <x:xf numFmtId="213" fontId="15" fillId="3" borderId="10" xfId="0" applyNumberFormat="1" applyFont="1" applyFill="1" applyBorder="1" applyAlignment="1">
      <x:alignment horizontal="left" vertical="center" wrapText="1"/>
    </x:xf>
    <x:xf numFmtId="213" fontId="15" fillId="3" borderId="12" xfId="0" applyNumberFormat="1" applyFont="1" applyFill="1" applyBorder="1" applyAlignment="1">
      <x:alignment horizontal="left" vertical="center" wrapText="1"/>
    </x:xf>
    <x:xf numFmtId="201" fontId="1" fillId="2" borderId="0" xfId="0" applyNumberFormat="1" applyFont="1" applyFill="1" applyBorder="1" applyAlignment="1">
      <x:alignment horizontal="left" vertical="center" wrapText="1"/>
    </x:xf>
    <x:xf numFmtId="201" fontId="15" fillId="3" borderId="10" xfId="0" applyNumberFormat="1" applyFont="1" applyFill="1" applyBorder="1" applyAlignment="1">
      <x:alignment horizontal="left" vertical="center" wrapText="1"/>
    </x:xf>
    <x:xf numFmtId="201" fontId="1" fillId="5" borderId="0" xfId="0" applyNumberFormat="1" applyFont="1" applyFill="1" applyBorder="1" applyAlignment="1">
      <x:alignment horizontal="left" vertical="center" wrapText="1"/>
    </x:xf>
    <x:xf numFmtId="201" fontId="1" fillId="2" borderId="11" xfId="0" applyNumberFormat="1" applyFont="1" applyFill="1" applyBorder="1" applyAlignment="1">
      <x:alignment horizontal="left" vertical="center" wrapText="1"/>
    </x:xf>
    <x:xf numFmtId="201" fontId="15" fillId="3" borderId="12" xfId="0" applyNumberFormat="1" applyFont="1" applyFill="1" applyBorder="1" applyAlignment="1">
      <x:alignment horizontal="left" vertical="center" wrapText="1"/>
    </x:xf>
    <x:xf numFmtId="201" fontId="1" fillId="5" borderId="11" xfId="0" applyNumberFormat="1" applyFont="1" applyFill="1" applyBorder="1" applyAlignment="1">
      <x:alignment horizontal="left" vertical="center" wrapText="1"/>
    </x:xf>
    <x:xf numFmtId="205" fontId="1" fillId="5" borderId="0" xfId="0" applyNumberFormat="1" applyFont="1" applyFill="1" applyBorder="1" applyAlignment="1">
      <x:alignment horizontal="center" vertical="center" wrapText="1"/>
    </x:xf>
    <x:xf numFmtId="205" fontId="1" fillId="5" borderId="11" xfId="0" applyNumberFormat="1" applyFont="1" applyFill="1" applyBorder="1" applyAlignment="1">
      <x:alignment horizontal="center" vertical="center" wrapText="1"/>
    </x:xf>
    <x:xf numFmtId="218" fontId="14" fillId="6" borderId="0" xfId="0" applyNumberFormat="1" applyFont="1" applyFill="1" applyBorder="1" applyAlignment="1">
      <x:alignment horizontal="center" vertical="center" wrapText="1"/>
    </x:xf>
    <x:xf numFmtId="204" fontId="16" fillId="5" borderId="0" xfId="0" applyNumberFormat="1" applyFont="1" applyFill="1" applyBorder="1" applyAlignment="1">
      <x:alignment horizontal="center" vertical="center" wrapText="1"/>
    </x:xf>
    <x:xf numFmtId="218" fontId="1" fillId="2" borderId="0" xfId="0" applyNumberFormat="1" applyFont="1" applyFill="1" applyBorder="1" applyAlignment="1">
      <x:alignment horizontal="center" vertical="center" wrapText="1"/>
    </x:xf>
    <x:xf numFmtId="218" fontId="1" fillId="5" borderId="0" xfId="0" applyNumberFormat="1" applyFont="1" applyFill="1" applyBorder="1" applyAlignment="1">
      <x:alignment horizontal="center" vertical="center" wrapText="1"/>
    </x:xf>
    <x:xf numFmtId="218" fontId="14" fillId="6" borderId="11" xfId="0" applyNumberFormat="1" applyFont="1" applyFill="1" applyBorder="1" applyAlignment="1">
      <x:alignment horizontal="center" vertical="center" wrapText="1"/>
    </x:xf>
    <x:xf numFmtId="204" fontId="16" fillId="5" borderId="11" xfId="0" applyNumberFormat="1" applyFont="1" applyFill="1" applyBorder="1" applyAlignment="1">
      <x:alignment horizontal="center" vertical="center" wrapText="1"/>
    </x:xf>
    <x:xf numFmtId="218" fontId="1" fillId="2" borderId="11" xfId="0" applyNumberFormat="1" applyFont="1" applyFill="1" applyBorder="1" applyAlignment="1">
      <x:alignment horizontal="center" vertical="center" wrapText="1"/>
    </x:xf>
    <x:xf numFmtId="218" fontId="1" fillId="5" borderId="11" xfId="0" applyNumberFormat="1" applyFont="1" applyFill="1" applyBorder="1" applyAlignment="1">
      <x:alignment horizontal="center" vertical="center" wrapText="1"/>
    </x:xf>
    <x:xf numFmtId="219" fontId="16" fillId="5" borderId="0" xfId="0" applyNumberFormat="1" applyFont="1" applyFill="1" applyBorder="1" applyAlignment="1">
      <x:alignment horizontal="center" vertical="center" wrapText="1"/>
    </x:xf>
    <x:xf numFmtId="220" fontId="16" fillId="2" borderId="0" xfId="0" applyNumberFormat="1" applyFont="1" applyFill="1" applyBorder="1" applyAlignment="1">
      <x:alignment horizontal="center" vertical="center" wrapText="1"/>
    </x:xf>
    <x:xf numFmtId="221" fontId="16" fillId="2" borderId="0" xfId="0" applyNumberFormat="1" applyFont="1" applyFill="1" applyBorder="1" applyAlignment="1">
      <x:alignment horizontal="center" vertical="center" wrapText="1"/>
    </x:xf>
    <x:xf numFmtId="222" fontId="16" fillId="5" borderId="0" xfId="0" applyNumberFormat="1" applyFont="1" applyFill="1" applyBorder="1" applyAlignment="1">
      <x:alignment horizontal="center" vertical="center" wrapText="1"/>
    </x:xf>
    <x:xf numFmtId="223" fontId="16" fillId="5" borderId="0" xfId="0" applyNumberFormat="1" applyFont="1" applyFill="1" applyBorder="1" applyAlignment="1">
      <x:alignment horizontal="center" vertical="center" wrapText="1"/>
    </x:xf>
    <x:xf numFmtId="223" fontId="16" fillId="2" borderId="0" xfId="0" applyNumberFormat="1" applyFont="1" applyFill="1" applyBorder="1" applyAlignment="1">
      <x:alignment horizontal="center" vertical="center" wrapText="1"/>
    </x:xf>
    <x:xf numFmtId="224" fontId="16" fillId="5" borderId="0" xfId="0" applyNumberFormat="1" applyFont="1" applyFill="1" applyBorder="1" applyAlignment="1">
      <x:alignment horizontal="center" vertical="center" wrapText="1"/>
    </x:xf>
    <x:xf numFmtId="219" fontId="16" fillId="5" borderId="11" xfId="0" applyNumberFormat="1" applyFont="1" applyFill="1" applyBorder="1" applyAlignment="1">
      <x:alignment horizontal="center" vertical="center" wrapText="1"/>
    </x:xf>
    <x:xf numFmtId="220" fontId="16" fillId="2" borderId="11" xfId="0" applyNumberFormat="1" applyFont="1" applyFill="1" applyBorder="1" applyAlignment="1">
      <x:alignment horizontal="center" vertical="center" wrapText="1"/>
    </x:xf>
    <x:xf numFmtId="221" fontId="16" fillId="2" borderId="11" xfId="0" applyNumberFormat="1" applyFont="1" applyFill="1" applyBorder="1" applyAlignment="1">
      <x:alignment horizontal="center" vertical="center" wrapText="1"/>
    </x:xf>
    <x:xf numFmtId="222" fontId="16" fillId="5" borderId="11" xfId="0" applyNumberFormat="1" applyFont="1" applyFill="1" applyBorder="1" applyAlignment="1">
      <x:alignment horizontal="center" vertical="center" wrapText="1"/>
    </x:xf>
    <x:xf numFmtId="223" fontId="16" fillId="5" borderId="11" xfId="0" applyNumberFormat="1" applyFont="1" applyFill="1" applyBorder="1" applyAlignment="1">
      <x:alignment horizontal="center" vertical="center" wrapText="1"/>
    </x:xf>
    <x:xf numFmtId="223" fontId="16" fillId="2" borderId="11" xfId="0" applyNumberFormat="1" applyFont="1" applyFill="1" applyBorder="1" applyAlignment="1">
      <x:alignment horizontal="center" vertical="center" wrapText="1"/>
    </x:xf>
    <x:xf numFmtId="224" fontId="16" fillId="5" borderId="11" xfId="0" applyNumberFormat="1" applyFont="1" applyFill="1" applyBorder="1" applyAlignment="1">
      <x:alignment horizontal="center" vertical="center" wrapText="1"/>
    </x:xf>
    <x:xf numFmtId="214" fontId="21" fillId="12" borderId="0" xfId="0" applyNumberFormat="1" applyFont="1" applyFill="1" applyBorder="1" applyAlignment="1">
      <x:alignment horizontal="center" vertical="center" wrapText="1"/>
    </x:xf>
    <x:xf numFmtId="218" fontId="16" fillId="5" borderId="0" xfId="0" applyNumberFormat="1" applyFont="1" applyFill="1" applyBorder="1" applyAlignment="1">
      <x:alignment horizontal="center" vertical="center" wrapText="1"/>
    </x:xf>
    <x:xf numFmtId="214" fontId="21" fillId="12" borderId="11" xfId="0" applyNumberFormat="1" applyFont="1" applyFill="1" applyBorder="1" applyAlignment="1">
      <x:alignment horizontal="center" vertical="center" wrapText="1"/>
    </x:xf>
    <x:xf numFmtId="218" fontId="16" fillId="5" borderId="11" xfId="0" applyNumberFormat="1" applyFont="1" applyFill="1" applyBorder="1" applyAlignment="1">
      <x:alignment horizontal="center" vertical="center" wrapText="1"/>
    </x:xf>
    <x:xf numFmtId="225" fontId="16" fillId="2" borderId="0" xfId="0" applyNumberFormat="1" applyFont="1" applyFill="1" applyBorder="1" applyAlignment="1">
      <x:alignment horizontal="center" vertical="center" wrapText="1"/>
    </x:xf>
    <x:xf numFmtId="225" fontId="16" fillId="2" borderId="11" xfId="0" applyNumberFormat="1" applyFont="1" applyFill="1" applyBorder="1" applyAlignment="1">
      <x:alignment horizontal="center" vertical="center" wrapText="1"/>
    </x:xf>
    <x:xf numFmtId="226" fontId="16" fillId="5" borderId="0" xfId="0" applyNumberFormat="1" applyFont="1" applyFill="1" applyBorder="1" applyAlignment="1">
      <x:alignment horizontal="center" vertical="center" wrapText="1"/>
    </x:xf>
    <x:xf numFmtId="227" fontId="16" fillId="2" borderId="0" xfId="0" applyNumberFormat="1" applyFont="1" applyFill="1" applyBorder="1" applyAlignment="1">
      <x:alignment horizontal="center" vertical="center" wrapText="1"/>
    </x:xf>
    <x:xf numFmtId="228" fontId="16" fillId="5" borderId="0" xfId="0" applyNumberFormat="1" applyFont="1" applyFill="1" applyBorder="1" applyAlignment="1">
      <x:alignment horizontal="center" vertical="center" wrapText="1"/>
    </x:xf>
    <x:xf numFmtId="228" fontId="16" fillId="2" borderId="0" xfId="0" applyNumberFormat="1" applyFont="1" applyFill="1" applyBorder="1" applyAlignment="1">
      <x:alignment horizontal="center" vertical="center" wrapText="1"/>
    </x:xf>
    <x:xf numFmtId="216" fontId="16" fillId="5" borderId="0" xfId="0" applyNumberFormat="1" applyFont="1" applyFill="1" applyBorder="1" applyAlignment="1">
      <x:alignment horizontal="center" vertical="center" wrapText="1"/>
    </x:xf>
    <x:xf numFmtId="229" fontId="16" fillId="2" borderId="0" xfId="0" applyNumberFormat="1" applyFont="1" applyFill="1" applyBorder="1" applyAlignment="1">
      <x:alignment horizontal="center" vertical="center" wrapText="1"/>
    </x:xf>
    <x:xf numFmtId="229" fontId="16" fillId="5" borderId="0" xfId="0" applyNumberFormat="1" applyFont="1" applyFill="1" applyBorder="1" applyAlignment="1">
      <x:alignment horizontal="center" vertical="center" wrapText="1"/>
    </x:xf>
    <x:xf numFmtId="226" fontId="16" fillId="5" borderId="11" xfId="0" applyNumberFormat="1" applyFont="1" applyFill="1" applyBorder="1" applyAlignment="1">
      <x:alignment horizontal="center" vertical="center" wrapText="1"/>
    </x:xf>
    <x:xf numFmtId="227" fontId="16" fillId="2" borderId="11" xfId="0" applyNumberFormat="1" applyFont="1" applyFill="1" applyBorder="1" applyAlignment="1">
      <x:alignment horizontal="center" vertical="center" wrapText="1"/>
    </x:xf>
    <x:xf numFmtId="228" fontId="16" fillId="5" borderId="11" xfId="0" applyNumberFormat="1" applyFont="1" applyFill="1" applyBorder="1" applyAlignment="1">
      <x:alignment horizontal="center" vertical="center" wrapText="1"/>
    </x:xf>
    <x:xf numFmtId="228" fontId="16" fillId="2" borderId="11" xfId="0" applyNumberFormat="1" applyFont="1" applyFill="1" applyBorder="1" applyAlignment="1">
      <x:alignment horizontal="center" vertical="center" wrapText="1"/>
    </x:xf>
    <x:xf numFmtId="216" fontId="16" fillId="5" borderId="11" xfId="0" applyNumberFormat="1" applyFont="1" applyFill="1" applyBorder="1" applyAlignment="1">
      <x:alignment horizontal="center" vertical="center" wrapText="1"/>
    </x:xf>
    <x:xf numFmtId="229" fontId="16" fillId="2" borderId="11" xfId="0" applyNumberFormat="1" applyFont="1" applyFill="1" applyBorder="1" applyAlignment="1">
      <x:alignment horizontal="center" vertical="center" wrapText="1"/>
    </x:xf>
    <x:xf numFmtId="229" fontId="16" fillId="5" borderId="11" xfId="0" applyNumberFormat="1" applyFont="1" applyFill="1" applyBorder="1" applyAlignment="1">
      <x:alignment horizontal="center" vertical="center" wrapText="1"/>
    </x:xf>
    <x:xf numFmtId="230" fontId="16" fillId="2" borderId="0" xfId="0" applyNumberFormat="1" applyFont="1" applyFill="1" applyBorder="1" applyAlignment="1">
      <x:alignment horizontal="center" vertical="center" wrapText="1"/>
    </x:xf>
    <x:xf numFmtId="230" fontId="16" fillId="5" borderId="0" xfId="0" applyNumberFormat="1" applyFont="1" applyFill="1" applyBorder="1" applyAlignment="1">
      <x:alignment horizontal="center" vertical="center" wrapText="1"/>
    </x:xf>
    <x:xf numFmtId="230" fontId="16" fillId="2" borderId="11" xfId="0" applyNumberFormat="1" applyFont="1" applyFill="1" applyBorder="1" applyAlignment="1">
      <x:alignment horizontal="center" vertical="center" wrapText="1"/>
    </x:xf>
    <x:xf numFmtId="230" fontId="16" fillId="5" borderId="11" xfId="0" applyNumberFormat="1" applyFont="1" applyFill="1" applyBorder="1" applyAlignment="1">
      <x:alignment horizontal="center" vertical="center" wrapText="1"/>
    </x:xf>
    <x:xf numFmtId="231" fontId="16" fillId="5" borderId="0" xfId="0" applyNumberFormat="1" applyFont="1" applyFill="1" applyBorder="1" applyAlignment="1">
      <x:alignment horizontal="center" vertical="center" wrapText="1"/>
    </x:xf>
    <x:xf numFmtId="231" fontId="16" fillId="2" borderId="0" xfId="0" applyNumberFormat="1" applyFont="1" applyFill="1" applyBorder="1" applyAlignment="1">
      <x:alignment horizontal="center" vertical="center" wrapText="1"/>
    </x:xf>
    <x:xf numFmtId="231" fontId="16" fillId="5" borderId="11" xfId="0" applyNumberFormat="1" applyFont="1" applyFill="1" applyBorder="1" applyAlignment="1">
      <x:alignment horizontal="center" vertical="center" wrapText="1"/>
    </x:xf>
    <x:xf numFmtId="231" fontId="16" fillId="2" borderId="11" xfId="0" applyNumberFormat="1" applyFont="1" applyFill="1" applyBorder="1" applyAlignment="1">
      <x:alignment horizontal="center" vertical="center" wrapText="1"/>
    </x:xf>
    <x:xf numFmtId="232" fontId="16" fillId="5" borderId="0" xfId="0" applyNumberFormat="1" applyFont="1" applyFill="1" applyBorder="1" applyAlignment="1">
      <x:alignment horizontal="center" vertical="center" wrapText="1"/>
    </x:xf>
    <x:xf numFmtId="232" fontId="16" fillId="2" borderId="0" xfId="0" applyNumberFormat="1" applyFont="1" applyFill="1" applyBorder="1" applyAlignment="1">
      <x:alignment horizontal="center" vertical="center" wrapText="1"/>
    </x:xf>
    <x:xf numFmtId="232" fontId="16" fillId="5" borderId="11" xfId="0" applyNumberFormat="1" applyFont="1" applyFill="1" applyBorder="1" applyAlignment="1">
      <x:alignment horizontal="center" vertical="center" wrapText="1"/>
    </x:xf>
    <x:xf numFmtId="232" fontId="16" fillId="2" borderId="11" xfId="0" applyNumberFormat="1" applyFont="1" applyFill="1" applyBorder="1" applyAlignment="1">
      <x:alignment horizontal="center" vertical="center" wrapText="1"/>
    </x:xf>
    <x:xf numFmtId="233" fontId="16" fillId="2" borderId="0" xfId="0" applyNumberFormat="1" applyFont="1" applyFill="1" applyBorder="1" applyAlignment="1">
      <x:alignment horizontal="center" vertical="center" wrapText="1"/>
    </x:xf>
    <x:xf numFmtId="233" fontId="16" fillId="2" borderId="11" xfId="0" applyNumberFormat="1" applyFont="1" applyFill="1" applyBorder="1" applyAlignment="1">
      <x:alignment horizontal="center" vertical="center" wrapText="1"/>
    </x:xf>
    <x:xf numFmtId="218" fontId="16" fillId="2" borderId="0" xfId="0" applyNumberFormat="1" applyFont="1" applyFill="1" applyBorder="1" applyAlignment="1">
      <x:alignment horizontal="center" vertical="center" wrapText="1"/>
    </x:xf>
    <x:xf numFmtId="218" fontId="16" fillId="2" borderId="11" xfId="0" applyNumberFormat="1" applyFont="1" applyFill="1" applyBorder="1" applyAlignment="1">
      <x:alignment horizontal="center" vertical="center" wrapText="1"/>
    </x:xf>
    <x:xf numFmtId="219" fontId="39" fillId="14" borderId="0" xfId="0" applyNumberFormat="1" applyFont="1" applyFill="1" applyBorder="1" applyAlignment="1">
      <x:alignment horizontal="center" vertical="center" wrapText="1"/>
    </x:xf>
    <x:xf numFmtId="214" fontId="39" fillId="13" borderId="0" xfId="0" applyNumberFormat="1" applyFont="1" applyFill="1" applyBorder="1" applyAlignment="1">
      <x:alignment horizontal="center" vertical="center" wrapText="1"/>
    </x:xf>
    <x:xf numFmtId="214" fontId="39" fillId="14" borderId="0" xfId="0" applyNumberFormat="1" applyFont="1" applyFill="1" applyBorder="1" applyAlignment="1">
      <x:alignment horizontal="center" vertical="center" wrapText="1"/>
    </x:xf>
    <x:xf numFmtId="219" fontId="39" fillId="14" borderId="11" xfId="0" applyNumberFormat="1" applyFont="1" applyFill="1" applyBorder="1" applyAlignment="1">
      <x:alignment horizontal="center" vertical="center" wrapText="1"/>
    </x:xf>
    <x:xf numFmtId="214" fontId="39" fillId="13" borderId="11" xfId="0" applyNumberFormat="1" applyFont="1" applyFill="1" applyBorder="1" applyAlignment="1">
      <x:alignment horizontal="center" vertical="center" wrapText="1"/>
    </x:xf>
    <x:xf numFmtId="214" fontId="39" fillId="14" borderId="11" xfId="0" applyNumberFormat="1" applyFont="1" applyFill="1" applyBorder="1" applyAlignment="1">
      <x:alignment horizontal="center" vertical="center" wrapText="1"/>
    </x:xf>
    <x:xf numFmtId="218" fontId="39" fillId="14" borderId="0" xfId="0" applyNumberFormat="1" applyFont="1" applyFill="1" applyBorder="1" applyAlignment="1">
      <x:alignment horizontal="center" vertical="center" wrapText="1"/>
    </x:xf>
    <x:xf numFmtId="218" fontId="39" fillId="13" borderId="0" xfId="0" applyNumberFormat="1" applyFont="1" applyFill="1" applyBorder="1" applyAlignment="1">
      <x:alignment horizontal="center" vertical="center" wrapText="1"/>
    </x:xf>
    <x:xf numFmtId="218" fontId="39" fillId="14" borderId="11" xfId="0" applyNumberFormat="1" applyFont="1" applyFill="1" applyBorder="1" applyAlignment="1">
      <x:alignment horizontal="center" vertical="center" wrapText="1"/>
    </x:xf>
    <x:xf numFmtId="218" fontId="39" fillId="13" borderId="11" xfId="0" applyNumberFormat="1" applyFont="1" applyFill="1" applyBorder="1" applyAlignment="1">
      <x:alignment horizontal="center" vertical="center" wrapText="1"/>
    </x:xf>
    <x:xf numFmtId="214" fontId="38" fillId="12" borderId="0" xfId="0" applyNumberFormat="1" applyFont="1" applyFill="1" applyBorder="1" applyAlignment="1">
      <x:alignment horizontal="center" vertical="center" wrapText="1"/>
    </x:xf>
    <x:xf numFmtId="214" fontId="38" fillId="12" borderId="11" xfId="0" applyNumberFormat="1" applyFont="1" applyFill="1" applyBorder="1" applyAlignment="1">
      <x:alignment horizontal="center" vertical="center" wrapText="1"/>
    </x:xf>
    <x:xf numFmtId="218" fontId="47" fillId="15" borderId="0" xfId="0" applyNumberFormat="1" applyFont="1" applyFill="1" applyBorder="1" applyAlignment="1">
      <x:alignment horizontal="center" vertical="center" wrapText="1"/>
    </x:xf>
    <x:xf numFmtId="218" fontId="47" fillId="15" borderId="11" xfId="0" applyNumberFormat="1" applyFont="1" applyFill="1" applyBorder="1" applyAlignment="1">
      <x:alignment horizontal="center" vertical="center" wrapText="1"/>
    </x:xf>
    <x:xf numFmtId="220" fontId="39" fillId="13" borderId="0" xfId="0" applyNumberFormat="1" applyFont="1" applyFill="1" applyBorder="1" applyAlignment="1">
      <x:alignment horizontal="center" vertical="center" wrapText="1"/>
    </x:xf>
    <x:xf numFmtId="221" fontId="39" fillId="13" borderId="0" xfId="0" applyNumberFormat="1" applyFont="1" applyFill="1" applyBorder="1" applyAlignment="1">
      <x:alignment horizontal="center" vertical="center" wrapText="1"/>
    </x:xf>
    <x:xf numFmtId="222" fontId="39" fillId="14" borderId="0" xfId="0" applyNumberFormat="1" applyFont="1" applyFill="1" applyBorder="1" applyAlignment="1">
      <x:alignment horizontal="center" vertical="center" wrapText="1"/>
    </x:xf>
    <x:xf numFmtId="202" fontId="39" fillId="13" borderId="0" xfId="0" applyNumberFormat="1" applyFont="1" applyFill="1" applyBorder="1" applyAlignment="1">
      <x:alignment horizontal="center" vertical="center" wrapText="1"/>
    </x:xf>
    <x:xf numFmtId="215" fontId="39" fillId="13" borderId="0" xfId="0" applyNumberFormat="1" applyFont="1" applyFill="1" applyBorder="1" applyAlignment="1">
      <x:alignment horizontal="center" vertical="center" wrapText="1"/>
    </x:xf>
    <x:xf numFmtId="216" fontId="39" fillId="14" borderId="0" xfId="0" applyNumberFormat="1" applyFont="1" applyFill="1" applyBorder="1" applyAlignment="1">
      <x:alignment horizontal="center" vertical="center" wrapText="1"/>
    </x:xf>
    <x:xf numFmtId="223" fontId="39" fillId="13" borderId="0" xfId="0" applyNumberFormat="1" applyFont="1" applyFill="1" applyBorder="1" applyAlignment="1">
      <x:alignment horizontal="center" vertical="center" wrapText="1"/>
    </x:xf>
    <x:xf numFmtId="220" fontId="39" fillId="13" borderId="11" xfId="0" applyNumberFormat="1" applyFont="1" applyFill="1" applyBorder="1" applyAlignment="1">
      <x:alignment horizontal="center" vertical="center" wrapText="1"/>
    </x:xf>
    <x:xf numFmtId="221" fontId="39" fillId="13" borderId="11" xfId="0" applyNumberFormat="1" applyFont="1" applyFill="1" applyBorder="1" applyAlignment="1">
      <x:alignment horizontal="center" vertical="center" wrapText="1"/>
    </x:xf>
    <x:xf numFmtId="222" fontId="39" fillId="14" borderId="11" xfId="0" applyNumberFormat="1" applyFont="1" applyFill="1" applyBorder="1" applyAlignment="1">
      <x:alignment horizontal="center" vertical="center" wrapText="1"/>
    </x:xf>
    <x:xf numFmtId="202" fontId="39" fillId="13" borderId="11" xfId="0" applyNumberFormat="1" applyFont="1" applyFill="1" applyBorder="1" applyAlignment="1">
      <x:alignment horizontal="center" vertical="center" wrapText="1"/>
    </x:xf>
    <x:xf numFmtId="215" fontId="39" fillId="13" borderId="11" xfId="0" applyNumberFormat="1" applyFont="1" applyFill="1" applyBorder="1" applyAlignment="1">
      <x:alignment horizontal="center" vertical="center" wrapText="1"/>
    </x:xf>
    <x:xf numFmtId="216" fontId="39" fillId="14" borderId="11" xfId="0" applyNumberFormat="1" applyFont="1" applyFill="1" applyBorder="1" applyAlignment="1">
      <x:alignment horizontal="center" vertical="center" wrapText="1"/>
    </x:xf>
    <x:xf numFmtId="223" fontId="39" fillId="13" borderId="11" xfId="0" applyNumberFormat="1" applyFont="1" applyFill="1" applyBorder="1" applyAlignment="1">
      <x:alignment horizontal="center" vertical="center" wrapText="1"/>
    </x:xf>
    <x:xf numFmtId="219" fontId="39" fillId="13" borderId="0" xfId="0" applyNumberFormat="1" applyFont="1" applyFill="1" applyBorder="1" applyAlignment="1">
      <x:alignment horizontal="center" vertical="center" wrapText="1"/>
    </x:xf>
    <x:xf numFmtId="220" fontId="39" fillId="14" borderId="0" xfId="0" applyNumberFormat="1" applyFont="1" applyFill="1" applyBorder="1" applyAlignment="1">
      <x:alignment horizontal="center" vertical="center" wrapText="1"/>
    </x:xf>
    <x:xf numFmtId="221" fontId="39" fillId="14" borderId="0" xfId="0" applyNumberFormat="1" applyFont="1" applyFill="1" applyBorder="1" applyAlignment="1">
      <x:alignment horizontal="center" vertical="center" wrapText="1"/>
    </x:xf>
    <x:xf numFmtId="222" fontId="39" fillId="13" borderId="0" xfId="0" applyNumberFormat="1" applyFont="1" applyFill="1" applyBorder="1" applyAlignment="1">
      <x:alignment horizontal="center" vertical="center" wrapText="1"/>
    </x:xf>
    <x:xf numFmtId="223" fontId="39" fillId="14" borderId="0" xfId="0" applyNumberFormat="1" applyFont="1" applyFill="1" applyBorder="1" applyAlignment="1">
      <x:alignment horizontal="center" vertical="center" wrapText="1"/>
    </x:xf>
    <x:xf numFmtId="224" fontId="39" fillId="13" borderId="0" xfId="0" applyNumberFormat="1" applyFont="1" applyFill="1" applyBorder="1" applyAlignment="1">
      <x:alignment horizontal="center" vertical="center" wrapText="1"/>
    </x:xf>
    <x:xf numFmtId="219" fontId="39" fillId="13" borderId="11" xfId="0" applyNumberFormat="1" applyFont="1" applyFill="1" applyBorder="1" applyAlignment="1">
      <x:alignment horizontal="center" vertical="center" wrapText="1"/>
    </x:xf>
    <x:xf numFmtId="220" fontId="39" fillId="14" borderId="11" xfId="0" applyNumberFormat="1" applyFont="1" applyFill="1" applyBorder="1" applyAlignment="1">
      <x:alignment horizontal="center" vertical="center" wrapText="1"/>
    </x:xf>
    <x:xf numFmtId="221" fontId="39" fillId="14" borderId="11" xfId="0" applyNumberFormat="1" applyFont="1" applyFill="1" applyBorder="1" applyAlignment="1">
      <x:alignment horizontal="center" vertical="center" wrapText="1"/>
    </x:xf>
    <x:xf numFmtId="222" fontId="39" fillId="13" borderId="11" xfId="0" applyNumberFormat="1" applyFont="1" applyFill="1" applyBorder="1" applyAlignment="1">
      <x:alignment horizontal="center" vertical="center" wrapText="1"/>
    </x:xf>
    <x:xf numFmtId="223" fontId="39" fillId="14" borderId="11" xfId="0" applyNumberFormat="1" applyFont="1" applyFill="1" applyBorder="1" applyAlignment="1">
      <x:alignment horizontal="center" vertical="center" wrapText="1"/>
    </x:xf>
    <x:xf numFmtId="224" fontId="39" fillId="13" borderId="11" xfId="0" applyNumberFormat="1" applyFont="1" applyFill="1" applyBorder="1" applyAlignment="1">
      <x:alignment horizontal="center" vertical="center" wrapText="1"/>
    </x:xf>
    <x:xf numFmtId="213" fontId="39" fillId="14" borderId="0" xfId="0" applyNumberFormat="1" applyFont="1" applyFill="1" applyBorder="1" applyAlignment="1">
      <x:alignment horizontal="center" vertical="center" wrapText="1"/>
    </x:xf>
    <x:xf numFmtId="213" fontId="39" fillId="14" borderId="11" xfId="0" applyNumberFormat="1" applyFont="1" applyFill="1" applyBorder="1" applyAlignment="1">
      <x:alignment horizontal="center" vertical="center" wrapText="1"/>
    </x:xf>
    <x:xf numFmtId="217" fontId="39" fillId="13" borderId="0" xfId="0" applyNumberFormat="1" applyFont="1" applyFill="1" applyBorder="1" applyAlignment="1">
      <x:alignment horizontal="center" vertical="center" wrapText="1"/>
    </x:xf>
    <x:xf numFmtId="217" fontId="39" fillId="14" borderId="0" xfId="0" applyNumberFormat="1" applyFont="1" applyFill="1" applyBorder="1" applyAlignment="1">
      <x:alignment horizontal="center" vertical="center" wrapText="1"/>
    </x:xf>
    <x:xf numFmtId="217" fontId="39" fillId="13" borderId="11" xfId="0" applyNumberFormat="1" applyFont="1" applyFill="1" applyBorder="1" applyAlignment="1">
      <x:alignment horizontal="center" vertical="center" wrapText="1"/>
    </x:xf>
    <x:xf numFmtId="217" fontId="39" fillId="14" borderId="11" xfId="0" applyNumberFormat="1" applyFont="1" applyFill="1" applyBorder="1" applyAlignment="1">
      <x:alignment horizontal="center" vertical="center" wrapText="1"/>
    </x:xf>
    <x:xf numFmtId="225" fontId="39" fillId="13" borderId="0" xfId="0" applyNumberFormat="1" applyFont="1" applyFill="1" applyBorder="1" applyAlignment="1">
      <x:alignment horizontal="center" vertical="center" wrapText="1"/>
    </x:xf>
    <x:xf numFmtId="225" fontId="39" fillId="13" borderId="11" xfId="0" applyNumberFormat="1" applyFont="1" applyFill="1" applyBorder="1" applyAlignment="1">
      <x:alignment horizontal="center" vertical="center" wrapText="1"/>
    </x:xf>
    <x:xf numFmtId="225" fontId="39" fillId="14" borderId="0" xfId="0" applyNumberFormat="1" applyFont="1" applyFill="1" applyBorder="1" applyAlignment="1">
      <x:alignment horizontal="center" vertical="center" wrapText="1"/>
    </x:xf>
    <x:xf numFmtId="225" fontId="39" fillId="14" borderId="11" xfId="0" applyNumberFormat="1" applyFont="1" applyFill="1" applyBorder="1" applyAlignment="1">
      <x:alignment horizontal="center" vertical="center" wrapText="1"/>
    </x:xf>
    <x:xf numFmtId="226" fontId="39" fillId="14" borderId="0" xfId="0" applyNumberFormat="1" applyFont="1" applyFill="1" applyBorder="1" applyAlignment="1">
      <x:alignment horizontal="center" vertical="center" wrapText="1"/>
    </x:xf>
    <x:xf numFmtId="227" fontId="39" fillId="13" borderId="0" xfId="0" applyNumberFormat="1" applyFont="1" applyFill="1" applyBorder="1" applyAlignment="1">
      <x:alignment horizontal="center" vertical="center" wrapText="1"/>
    </x:xf>
    <x:xf numFmtId="234" fontId="39" fillId="14" borderId="0" xfId="0" applyNumberFormat="1" applyFont="1" applyFill="1" applyBorder="1" applyAlignment="1">
      <x:alignment horizontal="center" vertical="center" wrapText="1"/>
    </x:xf>
    <x:xf numFmtId="216" fontId="39" fillId="13" borderId="0" xfId="0" applyNumberFormat="1" applyFont="1" applyFill="1" applyBorder="1" applyAlignment="1">
      <x:alignment horizontal="center" vertical="center" wrapText="1"/>
    </x:xf>
    <x:xf numFmtId="229" fontId="39" fillId="14" borderId="0" xfId="0" applyNumberFormat="1" applyFont="1" applyFill="1" applyBorder="1" applyAlignment="1">
      <x:alignment horizontal="center" vertical="center" wrapText="1"/>
    </x:xf>
    <x:xf numFmtId="202" fontId="39" fillId="14" borderId="0" xfId="0" applyNumberFormat="1" applyFont="1" applyFill="1" applyBorder="1" applyAlignment="1">
      <x:alignment horizontal="center" vertical="center" wrapText="1"/>
    </x:xf>
    <x:xf numFmtId="226" fontId="39" fillId="14" borderId="11" xfId="0" applyNumberFormat="1" applyFont="1" applyFill="1" applyBorder="1" applyAlignment="1">
      <x:alignment horizontal="center" vertical="center" wrapText="1"/>
    </x:xf>
    <x:xf numFmtId="227" fontId="39" fillId="13" borderId="11" xfId="0" applyNumberFormat="1" applyFont="1" applyFill="1" applyBorder="1" applyAlignment="1">
      <x:alignment horizontal="center" vertical="center" wrapText="1"/>
    </x:xf>
    <x:xf numFmtId="234" fontId="39" fillId="14" borderId="11" xfId="0" applyNumberFormat="1" applyFont="1" applyFill="1" applyBorder="1" applyAlignment="1">
      <x:alignment horizontal="center" vertical="center" wrapText="1"/>
    </x:xf>
    <x:xf numFmtId="216" fontId="39" fillId="13" borderId="11" xfId="0" applyNumberFormat="1" applyFont="1" applyFill="1" applyBorder="1" applyAlignment="1">
      <x:alignment horizontal="center" vertical="center" wrapText="1"/>
    </x:xf>
    <x:xf numFmtId="229" fontId="39" fillId="14" borderId="11" xfId="0" applyNumberFormat="1" applyFont="1" applyFill="1" applyBorder="1" applyAlignment="1">
      <x:alignment horizontal="center" vertical="center" wrapText="1"/>
    </x:xf>
    <x:xf numFmtId="202" fontId="39" fillId="14" borderId="11" xfId="0" applyNumberFormat="1" applyFont="1" applyFill="1" applyBorder="1" applyAlignment="1">
      <x:alignment horizontal="center" vertical="center" wrapText="1"/>
    </x:xf>
    <x:xf numFmtId="226" fontId="39" fillId="13" borderId="0" xfId="0" applyNumberFormat="1" applyFont="1" applyFill="1" applyBorder="1" applyAlignment="1">
      <x:alignment horizontal="center" vertical="center" wrapText="1"/>
    </x:xf>
    <x:xf numFmtId="227" fontId="39" fillId="14" borderId="0" xfId="0" applyNumberFormat="1" applyFont="1" applyFill="1" applyBorder="1" applyAlignment="1">
      <x:alignment horizontal="center" vertical="center" wrapText="1"/>
    </x:xf>
    <x:xf numFmtId="228" fontId="39" fillId="13" borderId="0" xfId="0" applyNumberFormat="1" applyFont="1" applyFill="1" applyBorder="1" applyAlignment="1">
      <x:alignment horizontal="center" vertical="center" wrapText="1"/>
    </x:xf>
    <x:xf numFmtId="215" fontId="39" fillId="14" borderId="0" xfId="0" applyNumberFormat="1" applyFont="1" applyFill="1" applyBorder="1" applyAlignment="1">
      <x:alignment horizontal="center" vertical="center" wrapText="1"/>
    </x:xf>
    <x:xf numFmtId="228" fontId="39" fillId="14" borderId="0" xfId="0" applyNumberFormat="1" applyFont="1" applyFill="1" applyBorder="1" applyAlignment="1">
      <x:alignment horizontal="center" vertical="center" wrapText="1"/>
    </x:xf>
    <x:xf numFmtId="229" fontId="39" fillId="13" borderId="0" xfId="0" applyNumberFormat="1" applyFont="1" applyFill="1" applyBorder="1" applyAlignment="1">
      <x:alignment horizontal="center" vertical="center" wrapText="1"/>
    </x:xf>
    <x:xf numFmtId="226" fontId="39" fillId="13" borderId="11" xfId="0" applyNumberFormat="1" applyFont="1" applyFill="1" applyBorder="1" applyAlignment="1">
      <x:alignment horizontal="center" vertical="center" wrapText="1"/>
    </x:xf>
    <x:xf numFmtId="227" fontId="39" fillId="14" borderId="11" xfId="0" applyNumberFormat="1" applyFont="1" applyFill="1" applyBorder="1" applyAlignment="1">
      <x:alignment horizontal="center" vertical="center" wrapText="1"/>
    </x:xf>
    <x:xf numFmtId="228" fontId="39" fillId="13" borderId="11" xfId="0" applyNumberFormat="1" applyFont="1" applyFill="1" applyBorder="1" applyAlignment="1">
      <x:alignment horizontal="center" vertical="center" wrapText="1"/>
    </x:xf>
    <x:xf numFmtId="215" fontId="39" fillId="14" borderId="11" xfId="0" applyNumberFormat="1" applyFont="1" applyFill="1" applyBorder="1" applyAlignment="1">
      <x:alignment horizontal="center" vertical="center" wrapText="1"/>
    </x:xf>
    <x:xf numFmtId="228" fontId="39" fillId="14" borderId="11" xfId="0" applyNumberFormat="1" applyFont="1" applyFill="1" applyBorder="1" applyAlignment="1">
      <x:alignment horizontal="center" vertical="center" wrapText="1"/>
    </x:xf>
    <x:xf numFmtId="229" fontId="39" fillId="13" borderId="11" xfId="0" applyNumberFormat="1" applyFont="1" applyFill="1" applyBorder="1" applyAlignment="1">
      <x:alignment horizontal="center" vertical="center" wrapText="1"/>
    </x:xf>
    <x:xf numFmtId="213" fontId="39" fillId="13" borderId="0" xfId="0" applyNumberFormat="1" applyFont="1" applyFill="1" applyBorder="1" applyAlignment="1">
      <x:alignment horizontal="center" vertical="center" wrapText="1"/>
    </x:xf>
    <x:xf numFmtId="213" fontId="39" fillId="13" borderId="11" xfId="0" applyNumberFormat="1" applyFont="1" applyFill="1" applyBorder="1" applyAlignment="1">
      <x:alignment horizontal="center" vertical="center" wrapText="1"/>
    </x:xf>
    <x:xf numFmtId="230" fontId="39" fillId="14" borderId="0" xfId="0" applyNumberFormat="1" applyFont="1" applyFill="1" applyBorder="1" applyAlignment="1">
      <x:alignment horizontal="center" vertical="center" wrapText="1"/>
    </x:xf>
    <x:xf numFmtId="230" fontId="39" fillId="13" borderId="0" xfId="0" applyNumberFormat="1" applyFont="1" applyFill="1" applyBorder="1" applyAlignment="1">
      <x:alignment horizontal="center" vertical="center" wrapText="1"/>
    </x:xf>
    <x:xf numFmtId="230" fontId="39" fillId="14" borderId="11" xfId="0" applyNumberFormat="1" applyFont="1" applyFill="1" applyBorder="1" applyAlignment="1">
      <x:alignment horizontal="center" vertical="center" wrapText="1"/>
    </x:xf>
    <x:xf numFmtId="230" fontId="39" fillId="13" borderId="11" xfId="0" applyNumberFormat="1" applyFont="1" applyFill="1" applyBorder="1" applyAlignment="1">
      <x:alignment horizontal="center" vertical="center" wrapText="1"/>
    </x:xf>
    <x:xf numFmtId="231" fontId="39" fillId="14" borderId="0" xfId="0" applyNumberFormat="1" applyFont="1" applyFill="1" applyBorder="1" applyAlignment="1">
      <x:alignment horizontal="center" vertical="center" wrapText="1"/>
    </x:xf>
    <x:xf numFmtId="231" fontId="39" fillId="13" borderId="0" xfId="0" applyNumberFormat="1" applyFont="1" applyFill="1" applyBorder="1" applyAlignment="1">
      <x:alignment horizontal="center" vertical="center" wrapText="1"/>
    </x:xf>
    <x:xf numFmtId="235" fontId="39" fillId="14" borderId="0" xfId="0" applyNumberFormat="1" applyFont="1" applyFill="1" applyBorder="1" applyAlignment="1">
      <x:alignment horizontal="center" vertical="center" wrapText="1"/>
    </x:xf>
    <x:xf numFmtId="231" fontId="39" fillId="14" borderId="11" xfId="0" applyNumberFormat="1" applyFont="1" applyFill="1" applyBorder="1" applyAlignment="1">
      <x:alignment horizontal="center" vertical="center" wrapText="1"/>
    </x:xf>
    <x:xf numFmtId="231" fontId="39" fillId="13" borderId="11" xfId="0" applyNumberFormat="1" applyFont="1" applyFill="1" applyBorder="1" applyAlignment="1">
      <x:alignment horizontal="center" vertical="center" wrapText="1"/>
    </x:xf>
    <x:xf numFmtId="235" fontId="39" fillId="14" borderId="11" xfId="0" applyNumberFormat="1" applyFont="1" applyFill="1" applyBorder="1" applyAlignment="1">
      <x:alignment horizontal="center" vertical="center" wrapText="1"/>
    </x:xf>
    <x:xf numFmtId="232" fontId="39" fillId="14" borderId="0" xfId="0" applyNumberFormat="1" applyFont="1" applyFill="1" applyBorder="1" applyAlignment="1">
      <x:alignment horizontal="center" vertical="center" wrapText="1"/>
    </x:xf>
    <x:xf numFmtId="232" fontId="39" fillId="13" borderId="0" xfId="0" applyNumberFormat="1" applyFont="1" applyFill="1" applyBorder="1" applyAlignment="1">
      <x:alignment horizontal="center" vertical="center" wrapText="1"/>
    </x:xf>
    <x:xf numFmtId="232" fontId="39" fillId="14" borderId="11" xfId="0" applyNumberFormat="1" applyFont="1" applyFill="1" applyBorder="1" applyAlignment="1">
      <x:alignment horizontal="center" vertical="center" wrapText="1"/>
    </x:xf>
    <x:xf numFmtId="232" fontId="39" fillId="13" borderId="11" xfId="0" applyNumberFormat="1" applyFont="1" applyFill="1" applyBorder="1" applyAlignment="1">
      <x:alignment horizontal="center" vertical="center" wrapText="1"/>
    </x:xf>
    <x:xf numFmtId="233" fontId="39" fillId="14" borderId="0" xfId="0" applyNumberFormat="1" applyFont="1" applyFill="1" applyBorder="1" applyAlignment="1">
      <x:alignment horizontal="center" vertical="center" wrapText="1"/>
    </x:xf>
    <x:xf numFmtId="233" fontId="39" fillId="14" borderId="11" xfId="0" applyNumberFormat="1" applyFont="1" applyFill="1" applyBorder="1" applyAlignment="1">
      <x:alignment horizontal="center" vertical="center" wrapText="1"/>
    </x:xf>
    <x:xf numFmtId="218" fontId="38" fillId="12" borderId="0" xfId="0" applyNumberFormat="1" applyFont="1" applyFill="1" applyBorder="1" applyAlignment="1">
      <x:alignment horizontal="center" vertical="center" wrapText="1"/>
    </x:xf>
    <x:xf numFmtId="218" fontId="38" fillId="12" borderId="11" xfId="0" applyNumberFormat="1" applyFont="1" applyFill="1" applyBorder="1" applyAlignment="1">
      <x:alignment horizontal="center" vertical="center" wrapText="1"/>
    </x:xf>
    <x:xf numFmtId="236" fontId="39" fillId="13" borderId="0" xfId="0" applyNumberFormat="1" applyFont="1" applyFill="1" applyBorder="1" applyAlignment="1">
      <x:alignment horizontal="center" vertical="center" wrapText="1"/>
    </x:xf>
    <x:xf numFmtId="236" fontId="39" fillId="13" borderId="11" xfId="0" applyNumberFormat="1" applyFont="1" applyFill="1" applyBorder="1" applyAlignment="1">
      <x:alignment horizontal="center" vertical="center" wrapText="1"/>
    </x:xf>
    <x:xf numFmtId="237" fontId="39" fillId="14" borderId="0" xfId="0" applyNumberFormat="1" applyFont="1" applyFill="1" applyBorder="1" applyAlignment="1">
      <x:alignment horizontal="center" vertical="center" wrapText="1"/>
    </x:xf>
    <x:xf numFmtId="237" fontId="39" fillId="14" borderId="11" xfId="0" applyNumberFormat="1" applyFont="1" applyFill="1" applyBorder="1" applyAlignment="1">
      <x:alignment horizontal="center" vertical="center" wrapText="1"/>
    </x:xf>
    <x:xf numFmtId="237" fontId="39" fillId="13" borderId="0" xfId="0" applyNumberFormat="1" applyFont="1" applyFill="1" applyBorder="1" applyAlignment="1">
      <x:alignment horizontal="center" vertical="center" wrapText="1"/>
    </x:xf>
    <x:xf numFmtId="237" fontId="39" fillId="13" borderId="11" xfId="0" applyNumberFormat="1" applyFont="1" applyFill="1" applyBorder="1" applyAlignment="1">
      <x:alignment horizontal="center" vertical="center" wrapText="1"/>
    </x:xf>
    <x:xf numFmtId="237" fontId="16" fillId="2" borderId="0" xfId="0" applyNumberFormat="1" applyFont="1" applyFill="1" applyBorder="1" applyAlignment="1">
      <x:alignment horizontal="center" vertical="center" wrapText="1"/>
    </x:xf>
    <x:xf numFmtId="237" fontId="16" fillId="2" borderId="11" xfId="0" applyNumberFormat="1" applyFont="1" applyFill="1" applyBorder="1" applyAlignment="1">
      <x:alignment horizontal="center" vertical="center" wrapText="1"/>
    </x:xf>
    <x:xf numFmtId="237" fontId="16" fillId="5" borderId="0" xfId="0" applyNumberFormat="1" applyFont="1" applyFill="1" applyBorder="1" applyAlignment="1">
      <x:alignment horizontal="center" vertical="center" wrapText="1"/>
    </x:xf>
    <x:xf numFmtId="237" fontId="16" fillId="5" borderId="11" xfId="0" applyNumberFormat="1" applyFont="1" applyFill="1" applyBorder="1" applyAlignment="1">
      <x:alignment horizontal="center" vertical="center" wrapText="1"/>
    </x:xf>
    <x:xf numFmtId="238" fontId="16" fillId="5" borderId="0" xfId="0" applyNumberFormat="1" applyFont="1" applyFill="1" applyBorder="1" applyAlignment="1">
      <x:alignment horizontal="center" vertical="center" wrapText="1"/>
    </x:xf>
    <x:xf numFmtId="238" fontId="16" fillId="5" borderId="11" xfId="0" applyNumberFormat="1" applyFont="1" applyFill="1" applyBorder="1" applyAlignment="1">
      <x:alignment horizontal="center" vertical="center" wrapText="1"/>
    </x:xf>
    <x:xf numFmtId="238" fontId="39" fillId="13" borderId="0" xfId="0" applyNumberFormat="1" applyFont="1" applyFill="1" applyBorder="1" applyAlignment="1">
      <x:alignment horizontal="center" vertical="center" wrapText="1"/>
    </x:xf>
    <x:xf numFmtId="238" fontId="39" fillId="13" borderId="11" xfId="0" applyNumberFormat="1" applyFont="1" applyFill="1" applyBorder="1" applyAlignment="1">
      <x:alignment horizontal="center" vertical="center" wrapText="1"/>
    </x:xf>
    <x:xf numFmtId="238" fontId="16" fillId="2" borderId="0" xfId="0" applyNumberFormat="1" applyFont="1" applyFill="1" applyBorder="1" applyAlignment="1">
      <x:alignment horizontal="center" vertical="center" wrapText="1"/>
    </x:xf>
    <x:xf numFmtId="238" fontId="16" fillId="2" borderId="11" xfId="0" applyNumberFormat="1" applyFont="1" applyFill="1" applyBorder="1" applyAlignment="1">
      <x:alignment horizontal="center" vertical="center" wrapText="1"/>
    </x:xf>
    <x:xf numFmtId="238" fontId="39" fillId="14" borderId="0" xfId="0" applyNumberFormat="1" applyFont="1" applyFill="1" applyBorder="1" applyAlignment="1">
      <x:alignment horizontal="center" vertical="center" wrapText="1"/>
    </x:xf>
    <x:xf numFmtId="238" fontId="39" fillId="14" borderId="11" xfId="0" applyNumberFormat="1" applyFont="1" applyFill="1" applyBorder="1" applyAlignment="1">
      <x:alignment horizontal="center" vertical="center" wrapText="1"/>
    </x:xf>
    <x:xf numFmtId="239" fontId="16" fillId="5" borderId="0" xfId="0" applyNumberFormat="1" applyFont="1" applyFill="1" applyBorder="1" applyAlignment="1">
      <x:alignment horizontal="center" vertical="center" wrapText="1"/>
    </x:xf>
    <x:xf numFmtId="239" fontId="16" fillId="5" borderId="11" xfId="0" applyNumberFormat="1" applyFont="1" applyFill="1" applyBorder="1" applyAlignment="1">
      <x:alignment horizontal="center" vertical="center" wrapText="1"/>
    </x:xf>
    <x:xf numFmtId="239" fontId="39" fillId="13" borderId="0" xfId="0" applyNumberFormat="1" applyFont="1" applyFill="1" applyBorder="1" applyAlignment="1">
      <x:alignment horizontal="center" vertical="center" wrapText="1"/>
    </x:xf>
    <x:xf numFmtId="239" fontId="39" fillId="13" borderId="11" xfId="0" applyNumberFormat="1" applyFont="1" applyFill="1" applyBorder="1" applyAlignment="1">
      <x:alignment horizontal="center" vertical="center" wrapText="1"/>
    </x:xf>
    <x:xf numFmtId="239" fontId="16" fillId="2" borderId="0" xfId="0" applyNumberFormat="1" applyFont="1" applyFill="1" applyBorder="1" applyAlignment="1">
      <x:alignment horizontal="center" vertical="center" wrapText="1"/>
    </x:xf>
    <x:xf numFmtId="239" fontId="16" fillId="2" borderId="11" xfId="0" applyNumberFormat="1" applyFont="1" applyFill="1" applyBorder="1" applyAlignment="1">
      <x:alignment horizontal="center" vertical="center" wrapText="1"/>
    </x:xf>
    <x:xf numFmtId="239" fontId="39" fillId="14" borderId="0" xfId="0" applyNumberFormat="1" applyFont="1" applyFill="1" applyBorder="1" applyAlignment="1">
      <x:alignment horizontal="center" vertical="center" wrapText="1"/>
    </x:xf>
    <x:xf numFmtId="239" fontId="39" fillId="14" borderId="11" xfId="0" applyNumberFormat="1" applyFont="1" applyFill="1" applyBorder="1" applyAlignment="1">
      <x:alignment horizontal="center" vertical="center" wrapText="1"/>
    </x:xf>
    <x:xf numFmtId="240" fontId="16" fillId="5" borderId="0" xfId="0" applyNumberFormat="1" applyFont="1" applyFill="1" applyBorder="1" applyAlignment="1">
      <x:alignment horizontal="center" vertical="center" wrapText="1"/>
    </x:xf>
    <x:xf numFmtId="240" fontId="16" fillId="5" borderId="11" xfId="0" applyNumberFormat="1" applyFont="1" applyFill="1" applyBorder="1" applyAlignment="1">
      <x:alignment horizontal="center" vertical="center" wrapText="1"/>
    </x:xf>
    <x:xf numFmtId="240" fontId="39" fillId="13" borderId="0" xfId="0" applyNumberFormat="1" applyFont="1" applyFill="1" applyBorder="1" applyAlignment="1">
      <x:alignment horizontal="center" vertical="center" wrapText="1"/>
    </x:xf>
    <x:xf numFmtId="240" fontId="39" fillId="13" borderId="11" xfId="0" applyNumberFormat="1" applyFont="1" applyFill="1" applyBorder="1" applyAlignment="1">
      <x:alignment horizontal="center" vertical="center" wrapText="1"/>
    </x:xf>
    <x:xf numFmtId="214" fontId="39" fillId="2" borderId="0" xfId="0" applyNumberFormat="1" applyFont="1" applyFill="1" applyBorder="1" applyAlignment="1">
      <x:alignment horizontal="center" vertical="center" wrapText="1"/>
    </x:xf>
    <x:xf numFmtId="214" fontId="39" fillId="14" borderId="0" xfId="0" applyNumberFormat="1" applyFont="1" applyFill="1" applyBorder="1" applyAlignment="1">
      <x:alignment horizontal="center" vertical="center" wrapText="1"/>
    </x:xf>
    <x:xf numFmtId="214" fontId="39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167" fontId="1" fillId="5" borderId="0" xfId="0" applyNumberFormat="1" applyFont="1" applyFill="1" applyBorder="1" applyAlignment="1">
      <x:alignment horizontal="center" vertical="center" wrapText="1"/>
    </x:xf>
    <x:xf numFmtId="173" fontId="16" fillId="5" borderId="0" xfId="0" applyNumberFormat="1" applyFont="1" applyFill="1" applyBorder="1" applyAlignment="1">
      <x:alignment horizontal="center" vertical="center" wrapText="1"/>
    </x:xf>
    <x:xf numFmtId="0" fontId="24" fillId="2" borderId="0" xfId="0" applyNumberFormat="1" applyFont="1" applyFill="1" applyBorder="1" applyAlignment="1">
      <x:alignment horizontal="left" vertical="center" wrapText="1"/>
    </x:xf>
    <x:xf numFmtId="0" fontId="24" fillId="2" borderId="0" xfId="0" applyNumberFormat="1" applyFont="1" applyFill="1" applyBorder="1" applyAlignment="1">
      <x:alignment horizontal="center" vertical="center" wrapText="1"/>
    </x:xf>
    <x:xf numFmtId="0" fontId="25" fillId="2" borderId="0" xfId="0" applyNumberFormat="1" applyFont="1" applyFill="1" applyBorder="1" applyAlignment="1">
      <x:alignment horizontal="left" vertical="center" wrapText="1"/>
    </x:xf>
    <x:xf numFmtId="0" fontId="25" fillId="2" borderId="0" xfId="0" applyNumberFormat="1" applyFont="1" applyFill="1" applyBorder="1" applyAlignment="1">
      <x:alignment horizontal="center" vertical="center" wrapText="1"/>
    </x:xf>
    <x:xf numFmtId="0" fontId="26" fillId="2" borderId="0" xfId="0" applyNumberFormat="1" applyFont="1" applyFill="1" applyBorder="1" applyAlignment="1">
      <x:alignment horizontal="left" vertical="center" wrapText="1"/>
    </x:xf>
    <x:xf numFmtId="0" fontId="26" fillId="2" borderId="0" xfId="0" applyNumberFormat="1" applyFont="1" applyFill="1" applyBorder="1" applyAlignment="1">
      <x:alignment horizontal="center" vertical="center" wrapText="1"/>
    </x:xf>
    <x:xf numFmtId="0" fontId="27" fillId="2" borderId="0" xfId="0" applyNumberFormat="1" applyFont="1" applyFill="1" applyBorder="1" applyAlignment="1">
      <x:alignment horizontal="left" vertical="center" wrapText="1"/>
    </x:xf>
    <x:xf numFmtId="0" fontId="27" fillId="2" borderId="0" xfId="0" applyNumberFormat="1" applyFont="1" applyFill="1" applyBorder="1" applyAlignment="1">
      <x:alignment horizontal="center" vertical="center" wrapText="1"/>
    </x:xf>
    <x:xf numFmtId="0" fontId="31" fillId="2" borderId="0" xfId="0" applyNumberFormat="1" applyFont="1" applyFill="1" applyBorder="1" applyAlignment="1">
      <x:alignment horizontal="left" vertical="center" wrapText="1"/>
    </x:xf>
    <x:xf numFmtId="0" fontId="31" fillId="2" borderId="0" xfId="0" applyNumberFormat="1" applyFont="1" applyFill="1" applyBorder="1" applyAlignment="1">
      <x:alignment horizontal="center" vertical="center" wrapText="1"/>
    </x:xf>
    <x:xf numFmtId="0" fontId="32" fillId="2" borderId="0" xfId="0" applyNumberFormat="1" applyFont="1" applyFill="1" applyBorder="1" applyAlignment="1">
      <x:alignment horizontal="left" vertical="center" wrapText="1"/>
    </x:xf>
    <x:xf numFmtId="0" fontId="32" fillId="2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horizontal="left" vertical="center" wrapText="1"/>
    </x:xf>
    <x:xf numFmtId="0" fontId="17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8" fillId="2" borderId="0" xfId="0" applyNumberFormat="1" applyFont="1" applyFill="1" applyBorder="1" applyAlignment="1">
      <x:alignment horizontal="left" vertical="center" wrapText="1"/>
    </x:xf>
    <x:xf numFmtId="0" fontId="38" fillId="2" borderId="0" xfId="0" applyNumberFormat="1" applyFont="1" applyFill="1" applyBorder="1" applyAlignment="1">
      <x:alignment horizontal="center" vertical="center" wrapText="1"/>
    </x:xf>
    <x:xf numFmtId="0" fontId="39" fillId="2" borderId="0" xfId="0" applyNumberFormat="1" applyFont="1" applyFill="1" applyBorder="1" applyAlignment="1">
      <x:alignment horizontal="left" vertical="center" wrapText="1"/>
    </x:xf>
    <x:xf numFmtId="0" fontId="39" fillId="2" borderId="0" xfId="0" applyNumberFormat="1" applyFont="1" applyFill="1" applyBorder="1" applyAlignment="1">
      <x:alignment horizontal="center" vertical="center" wrapText="1"/>
    </x:xf>
    <x:xf numFmtId="164" fontId="39" fillId="2" borderId="0" xfId="0" applyNumberFormat="1" applyFont="1" applyFill="1" applyBorder="1" applyAlignment="1">
      <x:alignment horizontal="center" vertical="center" wrapText="1"/>
    </x:xf>
    <x:xf numFmtId="165" fontId="39" fillId="2" borderId="0" xfId="0" applyNumberFormat="1" applyFont="1" applyFill="1" applyBorder="1" applyAlignment="1">
      <x:alignment horizontal="center" vertical="center" wrapText="1"/>
    </x:xf>
    <x:xf numFmtId="166" fontId="39" fillId="2" borderId="0" xfId="0" applyNumberFormat="1" applyFont="1" applyFill="1" applyBorder="1" applyAlignment="1">
      <x:alignment horizontal="center" vertical="center" wrapText="1"/>
    </x:xf>
    <x:xf numFmtId="0" fontId="39" fillId="2" borderId="0" xfId="0" applyNumberFormat="1" applyFont="1" applyFill="1" applyBorder="1"/>
    <x:xf numFmtId="0" fontId="39" fillId="2" borderId="0" xfId="0" applyNumberFormat="1" applyFont="1" applyFill="1" applyBorder="1" applyAlignment="1">
      <x:alignment wrapText="1"/>
    </x:xf>
    <x:xf numFmtId="164" fontId="39" fillId="2" borderId="0" xfId="0" applyNumberFormat="1" applyFont="1" applyFill="1" applyBorder="1" applyAlignment="1">
      <x:alignment horizontal="left" vertical="center" wrapText="1"/>
    </x:xf>
    <x:xf numFmtId="165" fontId="39" fillId="2" borderId="0" xfId="0" applyNumberFormat="1" applyFont="1" applyFill="1" applyBorder="1" applyAlignment="1">
      <x:alignment horizontal="left" vertical="center" wrapText="1"/>
    </x:xf>
    <x:xf numFmtId="166" fontId="39" fillId="2" borderId="0" xfId="0" applyNumberFormat="1" applyFont="1" applyFill="1" applyBorder="1" applyAlignment="1">
      <x:alignment horizontal="left" vertical="center" wrapText="1"/>
    </x:xf>
    <x:xf numFmtId="0" fontId="39" fillId="2" borderId="0" xfId="0" applyNumberFormat="1" applyFont="1" applyFill="1" applyBorder="1" applyAlignment="1">
      <x:alignment horizontal="left" wrapText="1"/>
    </x:xf>
    <x:xf numFmtId="0" fontId="40" fillId="2" borderId="0" xfId="0" applyNumberFormat="1" applyFont="1" applyFill="1" applyBorder="1" applyAlignment="1">
      <x:alignment horizontal="left" vertical="center" wrapText="1"/>
    </x:xf>
    <x:xf numFmtId="0" fontId="41" fillId="2" borderId="0" xfId="0" applyNumberFormat="1" applyFont="1" applyFill="1" applyBorder="1" applyAlignment="1">
      <x:alignment horizontal="left" vertical="center" wrapText="1"/>
    </x:xf>
    <x:xf numFmtId="0" fontId="42" fillId="2" borderId="0" xfId="0" applyNumberFormat="1" applyFont="1" applyFill="1" applyBorder="1" applyAlignment="1">
      <x:alignment horizontal="left" vertical="center" wrapText="1"/>
    </x:xf>
    <x:xf numFmtId="0" fontId="43" fillId="2" borderId="0" xfId="0" applyNumberFormat="1" applyFont="1" applyFill="1" applyBorder="1" applyAlignment="1">
      <x:alignment horizontal="left" vertical="center" wrapText="1"/>
    </x:xf>
    <x:xf numFmtId="200" fontId="39" fillId="2" borderId="0" xfId="0" applyNumberFormat="1" applyFont="1" applyFill="1" applyBorder="1" applyAlignment="1">
      <x:alignment horizontal="center" vertical="center" wrapText="1"/>
    </x:xf>
    <x:xf numFmtId="201" fontId="39" fillId="2" borderId="0" xfId="0" applyNumberFormat="1" applyFont="1" applyFill="1" applyBorder="1" applyAlignment="1">
      <x:alignment horizontal="center" vertical="center" wrapText="1"/>
    </x:xf>
    <x:xf numFmtId="0" fontId="45" fillId="2" borderId="0" xfId="0" applyNumberFormat="1" applyFont="1" applyFill="1" applyBorder="1" applyAlignment="1">
      <x:alignment horizontal="left" vertical="center" wrapText="1"/>
    </x:xf>
    <x:xf numFmtId="0" fontId="46" fillId="2" borderId="0" xfId="0" applyNumberFormat="1" applyFont="1" applyFill="1" applyBorder="1" applyAlignment="1">
      <x:alignment horizontal="left" vertical="center" wrapText="1"/>
    </x:xf>
    <x:xf numFmtId="203" fontId="39" fillId="2" borderId="0" xfId="0" applyNumberFormat="1" applyFont="1" applyFill="1" applyBorder="1" applyAlignment="1">
      <x:alignment horizontal="center" vertical="center" wrapText="1"/>
    </x:xf>
    <x:xf numFmtId="167" fontId="39" fillId="2" borderId="0" xfId="0" applyNumberFormat="1" applyFont="1" applyFill="1" applyBorder="1" applyAlignment="1">
      <x:alignment horizontal="center" vertical="center" wrapText="1"/>
    </x:xf>
    <x:xf numFmtId="167" fontId="39" fillId="2" borderId="0" xfId="0" applyNumberFormat="1" applyFont="1" applyFill="1" applyBorder="1" applyAlignment="1">
      <x:alignment horizontal="left" vertical="center" wrapText="1"/>
    </x:xf>
    <x:xf numFmtId="205" fontId="39" fillId="2" borderId="0" xfId="0" applyNumberFormat="1" applyFont="1" applyFill="1" applyBorder="1" applyAlignment="1">
      <x:alignment horizontal="center" vertical="center" wrapText="1"/>
    </x:xf>
    <x:xf numFmtId="204" fontId="39" fillId="2" borderId="0" xfId="0" applyNumberFormat="1" applyFont="1" applyFill="1" applyBorder="1" applyAlignment="1">
      <x:alignment horizontal="center" vertical="center" wrapText="1"/>
    </x:xf>
    <x:xf numFmtId="168" fontId="39" fillId="2" borderId="0" xfId="0" applyNumberFormat="1" applyFont="1" applyFill="1" applyBorder="1" applyAlignment="1">
      <x:alignment horizontal="center" vertical="center" wrapText="1"/>
    </x:xf>
    <x:xf numFmtId="2" fontId="39" fillId="2" borderId="0" xfId="0" applyNumberFormat="1" applyFont="1" applyFill="1" applyBorder="1" applyAlignment="1">
      <x:alignment horizontal="center" vertical="center" wrapText="1"/>
    </x:xf>
    <x:xf numFmtId="169" fontId="39" fillId="2" borderId="0" xfId="0" applyNumberFormat="1" applyFont="1" applyFill="1" applyBorder="1" applyAlignment="1">
      <x:alignment horizontal="center" vertical="center" wrapText="1"/>
    </x:xf>
    <x:xf numFmtId="168" fontId="39" fillId="2" borderId="0" xfId="0" applyNumberFormat="1" applyFont="1" applyFill="1" applyBorder="1" applyAlignment="1">
      <x:alignment horizontal="left" vertical="center" wrapText="1"/>
    </x:xf>
    <x:xf numFmtId="2" fontId="39" fillId="2" borderId="0" xfId="0" applyNumberFormat="1" applyFont="1" applyFill="1" applyBorder="1" applyAlignment="1">
      <x:alignment horizontal="left" vertical="center" wrapText="1"/>
    </x:xf>
    <x:xf numFmtId="169" fontId="39" fillId="2" borderId="0" xfId="0" applyNumberFormat="1" applyFont="1" applyFill="1" applyBorder="1" applyAlignment="1">
      <x:alignment horizontal="left" vertical="center" wrapText="1"/>
    </x:xf>
    <x:xf numFmtId="173" fontId="39" fillId="2" borderId="0" xfId="0" applyNumberFormat="1" applyFont="1" applyFill="1" applyBorder="1" applyAlignment="1">
      <x:alignment horizontal="center" vertical="center" wrapText="1"/>
    </x:xf>
    <x:xf numFmtId="206" fontId="39" fillId="2" borderId="0" xfId="0" applyNumberFormat="1" applyFont="1" applyFill="1" applyBorder="1" applyAlignment="1">
      <x:alignment horizontal="center" vertical="center" wrapText="1"/>
    </x:xf>
    <x:xf numFmtId="207" fontId="39" fillId="2" borderId="0" xfId="0" applyNumberFormat="1" applyFont="1" applyFill="1" applyBorder="1" applyAlignment="1">
      <x:alignment horizontal="center" vertical="center" wrapText="1"/>
    </x:xf>
    <x:xf numFmtId="170" fontId="39" fillId="2" borderId="0" xfId="0" applyNumberFormat="1" applyFont="1" applyFill="1" applyBorder="1" applyAlignment="1">
      <x:alignment horizontal="center" vertical="center" wrapText="1"/>
    </x:xf>
    <x:xf numFmtId="170" fontId="39" fillId="2" borderId="0" xfId="0" applyNumberFormat="1" applyFont="1" applyFill="1" applyBorder="1" applyAlignment="1">
      <x:alignment horizontal="left" vertical="center" wrapText="1"/>
    </x:xf>
    <x:xf numFmtId="171" fontId="39" fillId="2" borderId="0" xfId="0" applyNumberFormat="1" applyFont="1" applyFill="1" applyBorder="1" applyAlignment="1">
      <x:alignment horizontal="center" vertical="center" wrapText="1"/>
    </x:xf>
    <x:xf numFmtId="171" fontId="39" fillId="2" borderId="0" xfId="0" applyNumberFormat="1" applyFont="1" applyFill="1" applyBorder="1" applyAlignment="1">
      <x:alignment horizontal="left" vertical="center" wrapText="1"/>
    </x:xf>
    <x:xf numFmtId="209" fontId="39" fillId="2" borderId="0" xfId="0" applyNumberFormat="1" applyFont="1" applyFill="1" applyBorder="1" applyAlignment="1">
      <x:alignment horizontal="center" vertical="center" wrapText="1"/>
    </x:xf>
    <x:xf numFmtId="208" fontId="39" fillId="2" borderId="0" xfId="0" applyNumberFormat="1" applyFont="1" applyFill="1" applyBorder="1" applyAlignment="1">
      <x:alignment horizontal="center" vertical="center" wrapText="1"/>
    </x:xf>
    <x:xf numFmtId="172" fontId="39" fillId="2" borderId="0" xfId="0" applyNumberFormat="1" applyFont="1" applyFill="1" applyBorder="1" applyAlignment="1">
      <x:alignment horizontal="center" vertical="center" wrapText="1"/>
    </x:xf>
    <x:xf numFmtId="172" fontId="39" fillId="2" borderId="0" xfId="0" applyNumberFormat="1" applyFont="1" applyFill="1" applyBorder="1" applyAlignment="1">
      <x:alignment horizontal="left" vertical="center" wrapText="1"/>
    </x:xf>
    <x:xf numFmtId="210" fontId="39" fillId="2" borderId="0" xfId="0" applyNumberFormat="1" applyFont="1" applyFill="1" applyBorder="1" applyAlignment="1">
      <x:alignment horizontal="center" vertical="center" wrapText="1"/>
    </x:xf>
    <x:xf numFmtId="173" fontId="16" fillId="2" borderId="0" xfId="0" applyNumberFormat="1" applyFont="1" applyFill="1" applyBorder="1" applyAlignment="1">
      <x:alignment horizontal="center" vertical="center" wrapText="1"/>
    </x:xf>
    <x:xf numFmtId="173" fontId="39" fillId="2" borderId="0" xfId="0" applyNumberFormat="1" applyFont="1" applyFill="1" applyBorder="1" applyAlignment="1">
      <x:alignment horizontal="left" vertical="center" wrapText="1"/>
    </x:xf>
    <x:xf numFmtId="1" fontId="39" fillId="2" borderId="0" xfId="0" applyNumberFormat="1" applyFont="1" applyFill="1" applyBorder="1" applyAlignment="1">
      <x:alignment horizontal="center" vertical="center" wrapText="1"/>
    </x:xf>
    <x:xf numFmtId="1" fontId="39" fillId="2" borderId="0" xfId="0" applyNumberFormat="1" applyFont="1" applyFill="1" applyBorder="1" applyAlignment="1">
      <x:alignment horizontal="left" vertical="center" wrapText="1"/>
    </x:xf>
    <x:xf numFmtId="218" fontId="39" fillId="2" borderId="0" xfId="0" applyNumberFormat="1" applyFont="1" applyFill="1" applyBorder="1" applyAlignment="1">
      <x:alignment horizontal="center" vertical="center" wrapText="1"/>
    </x:xf>
    <x:xf numFmtId="220" fontId="39" fillId="2" borderId="0" xfId="0" applyNumberFormat="1" applyFont="1" applyFill="1" applyBorder="1" applyAlignment="1">
      <x:alignment horizontal="center" vertical="center" wrapText="1"/>
    </x:xf>
    <x:xf numFmtId="221" fontId="39" fillId="2" borderId="0" xfId="0" applyNumberFormat="1" applyFont="1" applyFill="1" applyBorder="1" applyAlignment="1">
      <x:alignment horizontal="center" vertical="center" wrapText="1"/>
    </x:xf>
    <x:xf numFmtId="202" fontId="39" fillId="2" borderId="0" xfId="0" applyNumberFormat="1" applyFont="1" applyFill="1" applyBorder="1" applyAlignment="1">
      <x:alignment horizontal="center" vertical="center" wrapText="1"/>
    </x:xf>
    <x:xf numFmtId="215" fontId="39" fillId="2" borderId="0" xfId="0" applyNumberFormat="1" applyFont="1" applyFill="1" applyBorder="1" applyAlignment="1">
      <x:alignment horizontal="center" vertical="center" wrapText="1"/>
    </x:xf>
    <x:xf numFmtId="223" fontId="39" fillId="2" borderId="0" xfId="0" applyNumberFormat="1" applyFont="1" applyFill="1" applyBorder="1" applyAlignment="1">
      <x:alignment horizontal="center" vertical="center" wrapText="1"/>
    </x:xf>
    <x:xf numFmtId="219" fontId="39" fillId="2" borderId="0" xfId="0" applyNumberFormat="1" applyFont="1" applyFill="1" applyBorder="1" applyAlignment="1">
      <x:alignment horizontal="center" vertical="center" wrapText="1"/>
    </x:xf>
    <x:xf numFmtId="222" fontId="39" fillId="2" borderId="0" xfId="0" applyNumberFormat="1" applyFont="1" applyFill="1" applyBorder="1" applyAlignment="1">
      <x:alignment horizontal="center" vertical="center" wrapText="1"/>
    </x:xf>
    <x:xf numFmtId="224" fontId="39" fillId="2" borderId="0" xfId="0" applyNumberFormat="1" applyFont="1" applyFill="1" applyBorder="1" applyAlignment="1">
      <x:alignment horizontal="center" vertical="center" wrapText="1"/>
    </x:xf>
    <x:xf numFmtId="217" fontId="39" fillId="2" borderId="0" xfId="0" applyNumberFormat="1" applyFont="1" applyFill="1" applyBorder="1" applyAlignment="1">
      <x:alignment horizontal="center" vertical="center" wrapText="1"/>
    </x:xf>
    <x:xf numFmtId="225" fontId="39" fillId="2" borderId="0" xfId="0" applyNumberFormat="1" applyFont="1" applyFill="1" applyBorder="1" applyAlignment="1">
      <x:alignment horizontal="center" vertical="center" wrapText="1"/>
    </x:xf>
    <x:xf numFmtId="227" fontId="39" fillId="2" borderId="0" xfId="0" applyNumberFormat="1" applyFont="1" applyFill="1" applyBorder="1" applyAlignment="1">
      <x:alignment horizontal="center" vertical="center" wrapText="1"/>
    </x:xf>
    <x:xf numFmtId="216" fontId="39" fillId="2" borderId="0" xfId="0" applyNumberFormat="1" applyFont="1" applyFill="1" applyBorder="1" applyAlignment="1">
      <x:alignment horizontal="center" vertical="center" wrapText="1"/>
    </x:xf>
    <x:xf numFmtId="226" fontId="39" fillId="2" borderId="0" xfId="0" applyNumberFormat="1" applyFont="1" applyFill="1" applyBorder="1" applyAlignment="1">
      <x:alignment horizontal="center" vertical="center" wrapText="1"/>
    </x:xf>
    <x:xf numFmtId="228" fontId="39" fillId="2" borderId="0" xfId="0" applyNumberFormat="1" applyFont="1" applyFill="1" applyBorder="1" applyAlignment="1">
      <x:alignment horizontal="center" vertical="center" wrapText="1"/>
    </x:xf>
    <x:xf numFmtId="229" fontId="39" fillId="2" borderId="0" xfId="0" applyNumberFormat="1" applyFont="1" applyFill="1" applyBorder="1" applyAlignment="1">
      <x:alignment horizontal="center" vertical="center" wrapText="1"/>
    </x:xf>
    <x:xf numFmtId="213" fontId="39" fillId="2" borderId="0" xfId="0" applyNumberFormat="1" applyFont="1" applyFill="1" applyBorder="1" applyAlignment="1">
      <x:alignment horizontal="center" vertical="center" wrapText="1"/>
    </x:xf>
    <x:xf numFmtId="230" fontId="39" fillId="2" borderId="0" xfId="0" applyNumberFormat="1" applyFont="1" applyFill="1" applyBorder="1" applyAlignment="1">
      <x:alignment horizontal="center" vertical="center" wrapText="1"/>
    </x:xf>
    <x:xf numFmtId="231" fontId="39" fillId="2" borderId="0" xfId="0" applyNumberFormat="1" applyFont="1" applyFill="1" applyBorder="1" applyAlignment="1">
      <x:alignment horizontal="center" vertical="center" wrapText="1"/>
    </x:xf>
    <x:xf numFmtId="232" fontId="39" fillId="2" borderId="0" xfId="0" applyNumberFormat="1" applyFont="1" applyFill="1" applyBorder="1" applyAlignment="1">
      <x:alignment horizontal="center" vertical="center" wrapText="1"/>
    </x:xf>
    <x:xf numFmtId="236" fontId="39" fillId="2" borderId="0" xfId="0" applyNumberFormat="1" applyFont="1" applyFill="1" applyBorder="1" applyAlignment="1">
      <x:alignment horizontal="center" vertical="center" wrapText="1"/>
    </x:xf>
    <x:xf numFmtId="237" fontId="39" fillId="2" borderId="0" xfId="0" applyNumberFormat="1" applyFont="1" applyFill="1" applyBorder="1" applyAlignment="1">
      <x:alignment horizontal="center" vertical="center" wrapText="1"/>
    </x:xf>
    <x:xf numFmtId="238" fontId="39" fillId="2" borderId="0" xfId="0" applyNumberFormat="1" applyFont="1" applyFill="1" applyBorder="1" applyAlignment="1">
      <x:alignment horizontal="center" vertical="center" wrapText="1"/>
    </x:xf>
    <x:xf numFmtId="239" fontId="39" fillId="2" borderId="0" xfId="0" applyNumberFormat="1" applyFont="1" applyFill="1" applyBorder="1" applyAlignment="1">
      <x:alignment horizontal="center" vertical="center" wrapText="1"/>
    </x:xf>
    <x:xf numFmtId="240" fontId="39" fillId="2" borderId="0" xfId="0" applyNumberFormat="1" applyFont="1" applyFill="1" applyBorder="1" applyAlignment="1">
      <x:alignment horizontal="center" vertical="center" wrapText="1"/>
    </x:xf>
    <x:xf numFmtId="241" fontId="39" fillId="14" borderId="0" xfId="0" applyNumberFormat="1" applyFont="1" applyFill="1" applyBorder="1" applyAlignment="1">
      <x:alignment horizontal="center" vertical="center" wrapText="1"/>
    </x:xf>
    <x:xf numFmtId="241" fontId="39" fillId="2" borderId="0" xfId="0" applyNumberFormat="1" applyFont="1" applyFill="1" applyBorder="1" applyAlignment="1">
      <x:alignment horizontal="center" vertical="center" wrapText="1"/>
    </x:xf>
    <x:xf numFmtId="242" fontId="39" fillId="2" borderId="0" xfId="0" applyNumberFormat="1" applyFont="1" applyFill="1" applyBorder="1" applyAlignment="1">
      <x:alignment horizontal="center" vertical="center" wrapText="1"/>
    </x:xf>
    <x:xf numFmtId="242" fontId="39" fillId="14" borderId="0" xfId="0" applyNumberFormat="1" applyFont="1" applyFill="1" applyBorder="1" applyAlignment="1">
      <x:alignment horizontal="center" vertical="center" wrapText="1"/>
    </x:xf>
    <x:xf numFmtId="243" fontId="39" fillId="14" borderId="0" xfId="0" applyNumberFormat="1" applyFont="1" applyFill="1" applyBorder="1" applyAlignment="1">
      <x:alignment horizontal="center" vertical="center" wrapText="1"/>
    </x:xf>
    <x:xf numFmtId="243" fontId="39" fillId="2" borderId="0" xfId="0" applyNumberFormat="1" applyFont="1" applyFill="1" applyBorder="1" applyAlignment="1">
      <x:alignment horizontal="center" vertical="center" wrapText="1"/>
    </x:xf>
    <x:xf numFmtId="244" fontId="39" fillId="14" borderId="0" xfId="0" applyNumberFormat="1" applyFont="1" applyFill="1" applyBorder="1" applyAlignment="1">
      <x:alignment horizontal="center" vertical="center" wrapText="1"/>
    </x:xf>
    <x:xf numFmtId="244" fontId="39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4f60df5be4223" /><Relationship Type="http://schemas.openxmlformats.org/officeDocument/2006/relationships/theme" Target="/xl/theme/theme1.xml" Id="Raa5d3180464c45ac" /><Relationship Type="http://schemas.openxmlformats.org/officeDocument/2006/relationships/sharedStrings" Target="/xl/sharedStrings.xml" Id="Rbaade30e32c941e1" /><Relationship Type="http://schemas.openxmlformats.org/officeDocument/2006/relationships/worksheet" Target="/xl/worksheets/sheet1.xml" Id="R4627c8e78b4a4bb7" /><Relationship Type="http://schemas.openxmlformats.org/officeDocument/2006/relationships/worksheet" Target="/xl/worksheets/sheet2.xml" Id="R73ce4d0efead4adf" /><Relationship Type="http://schemas.openxmlformats.org/officeDocument/2006/relationships/worksheet" Target="/xl/worksheets/sheet3.xml" Id="R937c48a9c10b4532" /><Relationship Type="http://schemas.openxmlformats.org/officeDocument/2006/relationships/worksheet" Target="/xl/worksheets/sheet4.xml" Id="Rf8ea9b9d0b254b24" /><Relationship Type="http://schemas.openxmlformats.org/officeDocument/2006/relationships/worksheet" Target="/xl/worksheets/sheet5.xml" Id="R27d527c12d984921" /><Relationship Type="http://schemas.openxmlformats.org/officeDocument/2006/relationships/worksheet" Target="/xl/worksheets/sheet6.xml" Id="Rfad71c3d22f24144" /><Relationship Type="http://schemas.openxmlformats.org/officeDocument/2006/relationships/worksheet" Target="/xl/worksheets/sheet7.xml" Id="Rec24e65da03b4765" /><Relationship Type="http://schemas.openxmlformats.org/officeDocument/2006/relationships/worksheet" Target="/xl/worksheets/sheet8.xml" Id="Rf1860143496a4c4b" /><Relationship Type="http://schemas.openxmlformats.org/officeDocument/2006/relationships/worksheet" Target="/xl/worksheets/sheet9.xml" Id="R00c7c134dd47453e" /><Relationship Type="http://schemas.openxmlformats.org/officeDocument/2006/relationships/worksheet" Target="/xl/worksheets/sheet10.xml" Id="R1bb4e86a602b4f40" /><Relationship Type="http://schemas.openxmlformats.org/officeDocument/2006/relationships/worksheet" Target="/xl/worksheets/sheet11.xml" Id="Re1c0da4eeae342f8" /><Relationship Type="http://schemas.openxmlformats.org/officeDocument/2006/relationships/worksheet" Target="/xl/worksheets/sheet12.xml" Id="R9d9626955663413c" /><Relationship Type="http://schemas.openxmlformats.org/officeDocument/2006/relationships/worksheet" Target="/xl/worksheets/sheet13.xml" Id="R92bfbe294af14173" /><Relationship Type="http://schemas.openxmlformats.org/officeDocument/2006/relationships/worksheet" Target="/xl/worksheets/sheet14.xml" Id="R1d8ae2d0733b43c9" /><Relationship Type="http://schemas.openxmlformats.org/officeDocument/2006/relationships/worksheet" Target="/xl/worksheets/sheet15.xml" Id="R3f05c73ddaf242c2" /><Relationship Type="http://schemas.openxmlformats.org/officeDocument/2006/relationships/worksheet" Target="/xl/worksheets/sheet16.xml" Id="Rf7ca4e0aae094967" /><Relationship Type="http://schemas.openxmlformats.org/officeDocument/2006/relationships/worksheet" Target="/xl/worksheets/sheet17.xml" Id="R857908c15b384fc2" /><Relationship Type="http://schemas.openxmlformats.org/officeDocument/2006/relationships/worksheet" Target="/xl/worksheets/sheet18.xml" Id="R1d852716cf474fdf" /><Relationship Type="http://schemas.openxmlformats.org/officeDocument/2006/relationships/worksheet" Target="/xl/worksheets/sheet19.xml" Id="Rd3779ac9f94c4453" /><Relationship Type="http://schemas.openxmlformats.org/officeDocument/2006/relationships/worksheet" Target="/xl/worksheets/sheet20.xml" Id="Rda40e842afe446e5" /><Relationship Type="http://schemas.openxmlformats.org/officeDocument/2006/relationships/worksheet" Target="/xl/worksheets/sheet21.xml" Id="R88861bba911748c0" /><Relationship Type="http://schemas.openxmlformats.org/officeDocument/2006/relationships/worksheet" Target="/xl/worksheets/sheet22.xml" Id="R52d08265e31441c2" /><Relationship Type="http://schemas.openxmlformats.org/officeDocument/2006/relationships/worksheet" Target="/xl/worksheets/sheet23.xml" Id="R64049515e7b743eb" /><Relationship Type="http://schemas.openxmlformats.org/officeDocument/2006/relationships/worksheet" Target="/xl/worksheets/sheet24.xml" Id="R826f27574d8f453e" /><Relationship Type="http://schemas.openxmlformats.org/officeDocument/2006/relationships/worksheet" Target="/xl/worksheets/sheet25.xml" Id="Rce4f0b1ed2b94b1d" /><Relationship Type="http://schemas.openxmlformats.org/officeDocument/2006/relationships/worksheet" Target="/xl/worksheets/sheet26.xml" Id="Rae89bd22152648b7" /><Relationship Type="http://schemas.openxmlformats.org/officeDocument/2006/relationships/worksheet" Target="/xl/worksheets/sheet27.xml" Id="R9188687739e449b7" /><Relationship Type="http://schemas.openxmlformats.org/officeDocument/2006/relationships/worksheet" Target="/xl/worksheets/sheet28.xml" Id="R4351349982cf4f8b" /><Relationship Type="http://schemas.openxmlformats.org/officeDocument/2006/relationships/worksheet" Target="/xl/worksheets/sheet29.xml" Id="R12004d1f7df442c9" /><Relationship Type="http://schemas.openxmlformats.org/officeDocument/2006/relationships/worksheet" Target="/xl/worksheets/sheet30.xml" Id="R181e0d5ef3714e7f" /><Relationship Type="http://schemas.openxmlformats.org/officeDocument/2006/relationships/worksheet" Target="/xl/worksheets/sheet31.xml" Id="R73b59a0f1d24403c" /><Relationship Type="http://schemas.openxmlformats.org/officeDocument/2006/relationships/worksheet" Target="/xl/worksheets/sheet32.xml" Id="R06988c5c39684a8f" /><Relationship Type="http://schemas.openxmlformats.org/officeDocument/2006/relationships/worksheet" Target="/xl/worksheets/sheet33.xml" Id="R7f4bdcc9b6194f86" /><Relationship Type="http://schemas.openxmlformats.org/officeDocument/2006/relationships/worksheet" Target="/xl/worksheets/sheet34.xml" Id="Rec31969055b8437c" /><Relationship Type="http://schemas.openxmlformats.org/officeDocument/2006/relationships/worksheet" Target="/xl/worksheets/sheet35.xml" Id="R63d8a37f2ac04071" /><Relationship Type="http://schemas.openxmlformats.org/officeDocument/2006/relationships/worksheet" Target="/xl/worksheets/sheet36.xml" Id="R9ce5ea4e2bb846fe" /><Relationship Type="http://schemas.openxmlformats.org/officeDocument/2006/relationships/worksheet" Target="/xl/worksheets/sheet37.xml" Id="R70cf15970973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10" width="17.230468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2"/>
      <x:c r="H1" s="2"/>
      <x:c r="I1" s="2"/>
      <x:c r="J1" s="3"/>
    </x:row>
    <x:row r="2" ht="12" customHeight="1">
      <x:c r="A2" s="4"/>
      <x:c r="B2" s="5"/>
      <x:c r="C2" s="5"/>
      <x:c r="D2" s="5"/>
      <x:c r="E2" s="5"/>
      <x:c r="F2" s="5"/>
      <x:c r="G2" s="5"/>
      <x:c r="H2" s="5"/>
      <x:c r="I2" s="5"/>
      <x:c r="J2" s="6"/>
    </x:row>
    <x:row r="3" ht="10" customHeight="1">
      <x:c r="A3" s="4"/>
      <x:c r="B3" s="5"/>
      <x:c r="C3" s="454"/>
      <x:c r="D3" s="453"/>
      <x:c r="E3" s="453"/>
      <x:c r="F3" s="453"/>
      <x:c r="G3" s="453"/>
      <x:c r="H3" s="453"/>
      <x:c r="I3" s="453"/>
      <x:c r="J3" s="453"/>
      <x:c r="K3" s="556"/>
      <x:c r="L3" s="556"/>
      <x:c r="M3" s="556"/>
      <x:c r="N3" s="556"/>
    </x:row>
    <x:row r="4" ht="25" customHeight="1">
      <x:c r="A4" s="4"/>
      <x:c r="B4" s="5"/>
      <x:c r="C4" s="557" t="s">
        <x:v>0</x:v>
      </x:c>
      <x:c r="D4" s="558"/>
      <x:c r="E4" s="558"/>
      <x:c r="F4" s="558"/>
      <x:c r="G4" s="558"/>
      <x:c r="H4" s="558"/>
      <x:c r="I4" s="558"/>
      <x:c r="J4" s="558"/>
      <x:c r="K4" s="556"/>
      <x:c r="L4" s="556"/>
      <x:c r="M4" s="556"/>
      <x:c r="N4" s="556"/>
    </x:row>
    <x:row r="5" ht="14.050000190734863" customHeight="1">
      <x:c r="A5" s="4"/>
      <x:c r="B5" s="5"/>
      <x:c r="C5" s="454"/>
      <x:c r="D5" s="453"/>
      <x:c r="E5" s="453"/>
      <x:c r="F5" s="453"/>
      <x:c r="G5" s="453"/>
      <x:c r="H5" s="453"/>
      <x:c r="I5" s="453"/>
      <x:c r="J5" s="453"/>
      <x:c r="K5" s="556"/>
      <x:c r="L5" s="556"/>
      <x:c r="M5" s="556"/>
      <x:c r="N5" s="556"/>
    </x:row>
    <x:row r="6" ht="44.599998474121094" customHeight="1">
      <x:c r="A6" s="4"/>
      <x:c r="B6" s="5"/>
      <x:c r="C6" s="559" t="s">
        <x:v>1</x:v>
      </x:c>
      <x:c r="D6" s="560"/>
      <x:c r="E6" s="560"/>
      <x:c r="F6" s="560"/>
      <x:c r="G6" s="560"/>
      <x:c r="H6" s="560"/>
      <x:c r="I6" s="560"/>
      <x:c r="J6" s="560"/>
      <x:c r="K6" s="556"/>
      <x:c r="L6" s="556"/>
      <x:c r="M6" s="556"/>
      <x:c r="N6" s="556"/>
    </x:row>
    <x:row r="7" ht="6" customHeight="1">
      <x:c r="A7" s="4"/>
      <x:c r="B7" s="5"/>
      <x:c r="C7" s="454"/>
      <x:c r="D7" s="453"/>
      <x:c r="E7" s="453"/>
      <x:c r="F7" s="453"/>
      <x:c r="G7" s="453"/>
      <x:c r="H7" s="453"/>
      <x:c r="I7" s="453"/>
      <x:c r="J7" s="453"/>
      <x:c r="K7" s="579"/>
      <x:c r="L7" s="579"/>
      <x:c r="M7" s="579"/>
      <x:c r="N7" s="579"/>
    </x:row>
    <x:row r="8" ht="51" customHeight="1">
      <x:c r="A8" s="4"/>
      <x:c r="B8" s="5"/>
      <x:c r="C8" s="561" t="s">
        <x:v>2</x:v>
      </x:c>
      <x:c r="D8" s="562"/>
      <x:c r="E8" s="562"/>
      <x:c r="F8" s="562"/>
      <x:c r="G8" s="562"/>
      <x:c r="H8" s="562"/>
      <x:c r="I8" s="562"/>
      <x:c r="J8" s="562"/>
      <x:c r="K8" s="579"/>
      <x:c r="L8" s="579"/>
      <x:c r="M8" s="579"/>
      <x:c r="N8" s="579"/>
    </x:row>
    <x:row r="9" ht="12" customHeight="1">
      <x:c r="A9" s="4"/>
      <x:c r="B9" s="5"/>
      <x:c r="C9" s="454"/>
      <x:c r="D9" s="453"/>
      <x:c r="E9" s="453"/>
      <x:c r="F9" s="453"/>
      <x:c r="G9" s="453"/>
      <x:c r="H9" s="453"/>
      <x:c r="I9" s="453"/>
      <x:c r="J9" s="453"/>
      <x:c r="K9" s="579"/>
      <x:c r="L9" s="579"/>
      <x:c r="M9" s="579"/>
      <x:c r="N9" s="579"/>
    </x:row>
    <x:row r="10" ht="6" customHeight="1">
      <x:c r="A10" s="4"/>
      <x:c r="B10" s="5"/>
      <x:c r="C10" s="454"/>
      <x:c r="D10" s="453"/>
      <x:c r="E10" s="453"/>
      <x:c r="F10" s="453"/>
      <x:c r="G10" s="453"/>
      <x:c r="H10" s="453"/>
      <x:c r="I10" s="453"/>
      <x:c r="J10" s="453"/>
      <x:c r="K10" s="579"/>
      <x:c r="L10" s="579"/>
      <x:c r="M10" s="579"/>
      <x:c r="N10" s="579"/>
    </x:row>
    <x:row r="11" ht="24" customHeight="1">
      <x:c r="A11" s="4"/>
      <x:c r="B11" s="5"/>
      <x:c r="C11" s="557" t="s">
        <x:v>3</x:v>
      </x:c>
      <x:c r="D11" s="558"/>
      <x:c r="E11" s="558"/>
      <x:c r="F11" s="558"/>
      <x:c r="G11" s="558"/>
      <x:c r="H11" s="558"/>
      <x:c r="I11" s="558"/>
      <x:c r="J11" s="558"/>
      <x:c r="K11" s="579"/>
      <x:c r="L11" s="579"/>
      <x:c r="M11" s="579"/>
      <x:c r="N11" s="579"/>
    </x:row>
    <x:row r="12" ht="32.04999923706055" customHeight="1">
      <x:c r="A12" s="4"/>
      <x:c r="B12" s="5"/>
      <x:c r="C12" s="563" t="s">
        <x:v>4</x:v>
      </x:c>
      <x:c r="D12" s="564"/>
      <x:c r="E12" s="564"/>
      <x:c r="F12" s="564"/>
      <x:c r="G12" s="564"/>
      <x:c r="H12" s="564"/>
      <x:c r="I12" s="564"/>
      <x:c r="J12" s="564"/>
      <x:c r="K12" s="579"/>
      <x:c r="L12" s="579"/>
      <x:c r="M12" s="579"/>
      <x:c r="N12" s="579"/>
    </x:row>
    <x:row r="13" ht="18" customHeight="1">
      <x:c r="A13" s="4"/>
      <x:c r="B13" s="5"/>
      <x:c r="C13" s="454"/>
      <x:c r="D13" s="453"/>
      <x:c r="E13" s="453"/>
      <x:c r="F13" s="453"/>
      <x:c r="G13" s="453"/>
      <x:c r="H13" s="453"/>
      <x:c r="I13" s="453"/>
      <x:c r="J13" s="453"/>
      <x:c r="K13" s="579"/>
      <x:c r="L13" s="579"/>
      <x:c r="M13" s="579"/>
      <x:c r="N13" s="579"/>
    </x:row>
    <x:row r="14" ht="24" customHeight="1">
      <x:c r="A14" s="4"/>
      <x:c r="B14" s="5"/>
      <x:c r="C14" s="557" t="s">
        <x:v>5</x:v>
      </x:c>
      <x:c r="D14" s="558"/>
      <x:c r="E14" s="558"/>
      <x:c r="F14" s="558"/>
      <x:c r="G14" s="558"/>
      <x:c r="H14" s="558"/>
      <x:c r="I14" s="558"/>
      <x:c r="J14" s="558"/>
      <x:c r="K14" s="579"/>
      <x:c r="L14" s="579"/>
      <x:c r="M14" s="579"/>
      <x:c r="N14" s="579"/>
    </x:row>
    <x:row r="15" ht="10" customHeight="1">
      <x:c r="A15" s="4"/>
      <x:c r="B15" s="5"/>
      <x:c r="C15" s="454"/>
      <x:c r="D15" s="453"/>
      <x:c r="E15" s="453"/>
      <x:c r="F15" s="453"/>
      <x:c r="G15" s="453"/>
      <x:c r="H15" s="453"/>
      <x:c r="I15" s="453"/>
      <x:c r="J15" s="453"/>
      <x:c r="K15" s="579"/>
      <x:c r="L15" s="579"/>
      <x:c r="M15" s="579"/>
      <x:c r="N15" s="579"/>
    </x:row>
    <x:row r="16" ht="26.049999237060547" customHeight="1">
      <x:c r="A16" s="4"/>
      <x:c r="B16" s="5"/>
      <x:c r="C16" s="565" t="s">
        <x:v>6</x:v>
      </x:c>
      <x:c r="D16" s="565"/>
      <x:c r="E16" s="565" t="str">
        <x:v>TOTAL DEVELOPMENT COST</x:v>
      </x:c>
      <x:c r="F16" s="565"/>
      <x:c r="G16" s="565" t="s">
        <x:v>7</x:v>
      </x:c>
      <x:c r="H16" s="565"/>
      <x:c r="I16" s="565" t="s">
        <x:v>8</x:v>
      </x:c>
      <x:c r="J16" s="565"/>
      <x:c r="K16" s="579"/>
      <x:c r="L16" s="579"/>
      <x:c r="M16" s="579"/>
      <x:c r="N16" s="579"/>
    </x:row>
    <x:row r="17" ht="55" customHeight="1">
      <x:c r="A17" s="4"/>
      <x:c r="B17" s="5"/>
      <x:c r="C17" s="566" t="n">
        <x:f>Inputs!D7</x:f>
        <x:v>10</x:v>
      </x:c>
      <x:c r="D17" s="567"/>
      <x:c r="E17" s="568" t="n">
        <x:f>Development!D31</x:f>
        <x:v>207728600</x:v>
      </x:c>
      <x:c r="F17" s="567"/>
      <x:c r="G17" s="568" t="n">
        <x:f>Landlord!D9</x:f>
        <x:v>27000000</x:v>
      </x:c>
      <x:c r="H17" s="567"/>
      <x:c r="I17" s="568" t="n">
        <x:f>Landlord!D21</x:f>
        <x:v>19750000</x:v>
      </x:c>
      <x:c r="J17" s="567"/>
      <x:c r="K17" s="579"/>
      <x:c r="L17" s="579"/>
      <x:c r="M17" s="579"/>
      <x:c r="N17" s="579"/>
    </x:row>
    <x:row r="18" ht="1" customHeight="1">
      <x:c r="A18" s="4"/>
      <x:c r="B18" s="5"/>
      <x:c r="C18" s="454"/>
      <x:c r="D18" s="453"/>
      <x:c r="E18" s="453"/>
      <x:c r="F18" s="453"/>
      <x:c r="G18" s="453"/>
      <x:c r="H18" s="453"/>
      <x:c r="I18" s="453"/>
      <x:c r="J18" s="453"/>
      <x:c r="K18" s="579"/>
      <x:c r="L18" s="579"/>
      <x:c r="M18" s="579"/>
      <x:c r="N18" s="579"/>
    </x:row>
    <x:row r="19" ht="42" customHeight="1">
      <x:c r="A19" s="4"/>
      <x:c r="B19" s="5"/>
      <x:c r="C19" s="569" t="s">
        <x:v>9</x:v>
      </x:c>
      <x:c r="D19" s="569"/>
      <x:c r="E19" s="569" t="s">
        <x:v>10</x:v>
      </x:c>
      <x:c r="F19" s="569"/>
      <x:c r="G19" s="569" t="s">
        <x:v>11</x:v>
      </x:c>
      <x:c r="H19" s="569"/>
      <x:c r="I19" s="569" t="s">
        <x:v>12</x:v>
      </x:c>
      <x:c r="J19" s="569"/>
      <x:c r="K19" s="579"/>
      <x:c r="L19" s="579"/>
      <x:c r="M19" s="579"/>
      <x:c r="N19" s="579"/>
    </x:row>
    <x:row r="20" ht="8.050000190734863" customHeight="1">
      <x:c r="A20" s="4"/>
      <x:c r="B20" s="5"/>
      <x:c r="C20" s="454"/>
      <x:c r="D20" s="453"/>
      <x:c r="E20" s="453"/>
      <x:c r="F20" s="453"/>
      <x:c r="G20" s="453"/>
      <x:c r="H20" s="453"/>
      <x:c r="I20" s="453"/>
      <x:c r="J20" s="453"/>
      <x:c r="K20" s="579"/>
      <x:c r="L20" s="579"/>
      <x:c r="M20" s="579"/>
      <x:c r="N20" s="579"/>
    </x:row>
    <x:row r="21" ht="14.050000190734863" customHeight="1">
      <x:c r="A21" s="4"/>
      <x:c r="B21" s="5"/>
      <x:c r="C21" s="454"/>
      <x:c r="D21" s="453"/>
      <x:c r="E21" s="453"/>
      <x:c r="F21" s="453"/>
      <x:c r="G21" s="453"/>
      <x:c r="H21" s="453"/>
      <x:c r="I21" s="453"/>
      <x:c r="J21" s="453"/>
      <x:c r="K21" s="579"/>
      <x:c r="L21" s="579"/>
      <x:c r="M21" s="579"/>
      <x:c r="N21" s="579"/>
    </x:row>
    <x:row r="22" ht="10" customHeight="1">
      <x:c r="A22" s="4"/>
      <x:c r="B22" s="5"/>
      <x:c r="C22" s="454"/>
      <x:c r="D22" s="453"/>
      <x:c r="E22" s="453"/>
      <x:c r="F22" s="453"/>
      <x:c r="G22" s="453"/>
      <x:c r="H22" s="453"/>
      <x:c r="I22" s="453"/>
      <x:c r="J22" s="453"/>
      <x:c r="K22" s="579"/>
      <x:c r="L22" s="579"/>
      <x:c r="M22" s="579"/>
      <x:c r="N22" s="579"/>
    </x:row>
    <x:row r="23" ht="24" customHeight="1">
      <x:c r="A23" s="4"/>
      <x:c r="B23" s="5"/>
      <x:c r="C23" s="557" t="s">
        <x:v>13</x:v>
      </x:c>
      <x:c r="D23" s="558"/>
      <x:c r="E23" s="558"/>
      <x:c r="F23" s="558"/>
      <x:c r="G23" s="558"/>
      <x:c r="H23" s="558"/>
      <x:c r="I23" s="558"/>
      <x:c r="J23" s="558"/>
      <x:c r="K23" s="579"/>
      <x:c r="L23" s="579"/>
      <x:c r="M23" s="579"/>
      <x:c r="N23" s="579"/>
    </x:row>
    <x:row r="24" ht="56.04999923706055" customHeight="1">
      <x:c r="A24" s="4"/>
      <x:c r="B24" s="5"/>
      <x:c r="C24" s="570" t="s">
        <x:v>14</x:v>
      </x:c>
      <x:c r="D24" s="571"/>
      <x:c r="E24" s="571"/>
      <x:c r="F24" s="571"/>
      <x:c r="G24" s="571"/>
      <x:c r="H24" s="571"/>
      <x:c r="I24" s="571"/>
      <x:c r="J24" s="571"/>
      <x:c r="K24" s="579"/>
      <x:c r="L24" s="579"/>
      <x:c r="M24" s="579"/>
      <x:c r="N24" s="579"/>
    </x:row>
    <x:row r="25" ht="1" customHeight="1">
      <x:c r="A25" s="4"/>
      <x:c r="B25" s="5"/>
      <x:c r="C25" s="454"/>
      <x:c r="D25" s="453"/>
      <x:c r="E25" s="453"/>
      <x:c r="F25" s="453"/>
      <x:c r="G25" s="453"/>
      <x:c r="H25" s="453"/>
      <x:c r="I25" s="453"/>
      <x:c r="J25" s="453"/>
      <x:c r="K25" s="579"/>
      <x:c r="L25" s="579"/>
      <x:c r="M25" s="579"/>
      <x:c r="N25" s="579"/>
    </x:row>
    <x:row r="26" ht="12" customHeight="1">
      <x:c r="A26" s="4"/>
      <x:c r="B26" s="5"/>
      <x:c r="C26" s="454"/>
      <x:c r="D26" s="453"/>
      <x:c r="E26" s="453"/>
      <x:c r="F26" s="453"/>
      <x:c r="G26" s="453"/>
      <x:c r="H26" s="453"/>
      <x:c r="I26" s="453"/>
      <x:c r="J26" s="453"/>
      <x:c r="K26" s="579"/>
      <x:c r="L26" s="579"/>
      <x:c r="M26" s="579"/>
      <x:c r="N26" s="579"/>
    </x:row>
    <x:row r="27" ht="36" customHeight="1">
      <x:c r="A27" s="4"/>
      <x:c r="B27" s="5"/>
      <x:c r="C27" s="572" t="s">
        <x:v>15</x:v>
      </x:c>
      <x:c r="D27" s="573"/>
      <x:c r="E27" s="573"/>
      <x:c r="F27" s="573"/>
      <x:c r="G27" s="573"/>
      <x:c r="H27" s="573"/>
      <x:c r="I27" s="573"/>
      <x:c r="J27" s="573"/>
      <x:c r="K27" s="579"/>
      <x:c r="L27" s="579"/>
      <x:c r="M27" s="579"/>
      <x:c r="N27" s="579"/>
    </x:row>
    <x:row r="28" ht="1" customHeight="1">
      <x:c r="A28" s="4"/>
      <x:c r="B28" s="5"/>
      <x:c r="C28" s="454"/>
      <x:c r="D28" s="453"/>
      <x:c r="E28" s="453"/>
      <x:c r="F28" s="453"/>
      <x:c r="G28" s="453"/>
      <x:c r="H28" s="453"/>
      <x:c r="I28" s="453"/>
      <x:c r="J28" s="453"/>
      <x:c r="K28" s="579"/>
      <x:c r="L28" s="579"/>
      <x:c r="M28" s="579"/>
      <x:c r="N28" s="579"/>
    </x:row>
    <x:row r="29" ht="10" customHeight="1">
      <x:c r="A29" s="4"/>
      <x:c r="B29" s="5"/>
      <x:c r="C29" s="454"/>
      <x:c r="D29" s="453"/>
      <x:c r="E29" s="453"/>
      <x:c r="F29" s="453"/>
      <x:c r="G29" s="453"/>
      <x:c r="H29" s="453"/>
      <x:c r="I29" s="453"/>
      <x:c r="J29" s="453"/>
      <x:c r="K29" s="579"/>
      <x:c r="L29" s="579"/>
      <x:c r="M29" s="579"/>
      <x:c r="N29" s="579"/>
    </x:row>
    <x:row r="30" ht="30" customHeight="1">
      <x:c r="A30" s="4"/>
      <x:c r="B30" s="5"/>
      <x:c r="C30" s="574" t="s">
        <x:v>16</x:v>
      </x:c>
      <x:c r="D30" s="575"/>
      <x:c r="E30" s="575"/>
      <x:c r="F30" s="575"/>
      <x:c r="G30" s="575"/>
      <x:c r="H30" s="575"/>
      <x:c r="I30" s="575"/>
      <x:c r="J30" s="575"/>
      <x:c r="K30" s="579"/>
      <x:c r="L30" s="579"/>
      <x:c r="M30" s="579"/>
      <x:c r="N30" s="579"/>
    </x:row>
    <x:row r="31" ht="22" customHeight="1">
      <x:c r="A31" s="4"/>
      <x:c r="B31" s="5"/>
      <x:c r="C31" s="576" t="str">
        <x:v>October 22, 2026 | GII Research Note No. 2 | Version 1.0</x:v>
      </x:c>
      <x:c r="D31" s="577"/>
      <x:c r="E31" s="577"/>
      <x:c r="F31" s="577"/>
      <x:c r="G31" s="577"/>
      <x:c r="H31" s="577"/>
      <x:c r="I31" s="577"/>
      <x:c r="J31" s="577"/>
      <x:c r="K31" s="579"/>
      <x:c r="L31" s="579"/>
      <x:c r="M31" s="579"/>
      <x:c r="N31" s="579"/>
    </x:row>
    <x:row r="32" ht="32.04999923706055" customHeight="1">
      <x:c r="A32" s="7"/>
      <x:c r="B32" s="8"/>
      <x:c r="C32" s="576" t="str">
        <x:v>GII 10MW Underwriting | Final publication edition | Independent teaching case</x:v>
      </x:c>
      <x:c r="D32" s="577"/>
      <x:c r="E32" s="577"/>
      <x:c r="F32" s="577"/>
      <x:c r="G32" s="577"/>
      <x:c r="H32" s="577"/>
      <x:c r="I32" s="577"/>
      <x:c r="J32" s="577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POWER-CONSTRAINED SILICON VALLEY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Data Center Real Estate Underwriting 101 | 10 MW Model &amp; Investor Exhibits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Where capital commitments meet controlled physical infrastructure: power, land, financing, lease credit, and paid customer demand.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Critical IT capacity</x:v>
      </x:c>
      <x:c r="Q211" s="1259" t="n">
        <x:f>Inputs!D7</x:f>
        <x:v>10</x:v>
      </x:c>
      <x:c r="R211" s="599" t="str">
        <x:v>Inputs tab</x:v>
      </x:c>
      <x:c r="S211" s="599" t="str">
        <x:v>10 MW of IT load, not merely utility capacity.</x:v>
      </x:c>
    </x:row>
    <x:row r="212" ht="17.110000610351562" hidden="0" customHeight="1">
      <x:c r="P212" s="509" t="str">
        <x:v>Total Development Cost</x:v>
      </x:c>
      <x:c r="Q212" s="1036" t="n">
        <x:f>Development!D31</x:f>
        <x:v>207728600</x:v>
      </x:c>
      <x:c r="R212" s="510" t="str">
        <x:v>Development tab</x:v>
      </x:c>
      <x:c r="S212" s="510" t="str">
        <x:v>Land and facility, including financing; excludes GPUs.</x:v>
      </x:c>
    </x:row>
    <x:row r="213" ht="17.110000610351562" hidden="0" customHeight="1">
      <x:c r="P213" s="597" t="str">
        <x:v>Initial developer equity</x:v>
      </x:c>
      <x:c r="Q213" s="1037" t="n">
        <x:f>Development!D32</x:f>
        <x:v>90788600</x:v>
      </x:c>
      <x:c r="R213" s="599" t="str">
        <x:v>Development tab</x:v>
      </x:c>
      <x:c r="S213" s="599" t="str">
        <x:v>Remaining capital after modeled construction debt.</x:v>
      </x:c>
    </x:row>
    <x:row r="214" ht="17.110000610351562" hidden="0" customHeight="1">
      <x:c r="P214" s="509" t="str">
        <x:v>Year-one capacity rent</x:v>
      </x:c>
      <x:c r="Q214" s="1036" t="n">
        <x:f>Landlord!D9</x:f>
        <x:v>27000000</x:v>
      </x:c>
      <x:c r="R214" s="510" t="str">
        <x:v>Landlord tab</x:v>
      </x:c>
      <x:c r="S214" s="510" t="str">
        <x:v>100% reserved MW billable at acceptance.</x:v>
      </x:c>
    </x:row>
    <x:row r="215" ht="17.110000610351562" hidden="0" customHeight="1">
      <x:c r="P215" s="597" t="str">
        <x:v>Year-one NOI</x:v>
      </x:c>
      <x:c r="Q215" s="1037" t="n">
        <x:f>Landlord!D21</x:f>
        <x:v>19750000</x:v>
      </x:c>
      <x:c r="R215" s="599" t="str">
        <x:v>Landlord tab</x:v>
      </x:c>
      <x:c r="S215" s="599" t="str">
        <x:v>After non-power property operating costs.</x:v>
      </x:c>
    </x:row>
    <x:row r="216" ht="17.110000610351562" hidden="0" customHeight="1">
      <x:c r="P216" s="509" t="str">
        <x:v>Levered annualized IRR</x:v>
      </x:c>
      <x:c r="Q216" s="611" t="n">
        <x:f>'Monthly CF'!D155</x:f>
        <x:v>0.16809156810684023</x:v>
      </x:c>
      <x:c r="R216" s="510" t="str">
        <x:v>Monthly CF tab</x:v>
      </x:c>
      <x:c r="S216" s="510" t="str">
        <x:v>Includes construction, operations and terminal sale.</x:v>
      </x:c>
    </x:row>
    <x:row r="217" ht="2" customHeight="1">
      <x:c r="P217" s="509"/>
      <x:c r="Q217" s="512"/>
      <x:c r="R217" s="510"/>
      <x:c r="S217" s="510"/>
    </x:row>
    <x:row r="218" ht="2" customHeight="1">
      <x:c r="P218" s="509"/>
      <x:c r="Q218" s="512"/>
      <x:c r="R218" s="510"/>
      <x:c r="S218" s="510"/>
    </x:row>
    <x:row r="219" ht="2" customHeight="1">
      <x:c r="P219" s="509"/>
      <x:c r="Q219" s="512"/>
      <x:c r="R219" s="510"/>
      <x:c r="S219" s="510"/>
    </x:row>
    <x:row r="220" ht="2" customHeight="1">
      <x:c r="P220" s="509"/>
      <x:c r="Q220" s="512"/>
      <x:c r="R220" s="510"/>
      <x:c r="S220" s="510"/>
    </x:row>
    <x:row r="221" ht="2" customHeight="1">
      <x:c r="P221" s="509"/>
      <x:c r="Q221" s="512"/>
      <x:c r="R221" s="510"/>
      <x:c r="S221" s="510"/>
    </x:row>
    <x:row r="222" ht="2" customHeight="1">
      <x:c r="P222" s="509"/>
      <x:c r="Q222" s="512"/>
      <x:c r="R222" s="510"/>
      <x:c r="S222" s="510"/>
    </x:row>
    <x:row r="223" ht="2" customHeight="1">
      <x:c r="P223" s="509"/>
      <x:c r="Q223" s="512"/>
      <x:c r="R223" s="510"/>
      <x:c r="S223" s="510"/>
    </x:row>
    <x:row r="224" ht="2" customHeight="1">
      <x:c r="P224" s="509"/>
      <x:c r="Q224" s="512"/>
      <x:c r="R224" s="510"/>
      <x:c r="S224" s="510"/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01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1:J31"/>
    <x:mergeCell ref="C32:J32"/>
    <x:mergeCell ref="C16:D16"/>
    <x:mergeCell ref="E16:F16"/>
    <x:mergeCell ref="G16:H16"/>
    <x:mergeCell ref="I16:J16"/>
    <x:mergeCell ref="C17:D17"/>
    <x:mergeCell ref="E17:F17"/>
    <x:mergeCell ref="G17:H17"/>
    <x:mergeCell ref="I17:J17"/>
    <x:mergeCell ref="C19:D19"/>
    <x:mergeCell ref="E19:F19"/>
    <x:mergeCell ref="G19:H19"/>
    <x:mergeCell ref="I19:J19"/>
    <x:mergeCell ref="C14:J14"/>
    <x:mergeCell ref="C23:J23"/>
    <x:mergeCell ref="C24:J24"/>
    <x:mergeCell ref="C27:J27"/>
    <x:mergeCell ref="C30:J30"/>
    <x:mergeCell ref="C4:J4"/>
    <x:mergeCell ref="C6:J6"/>
    <x:mergeCell ref="C8:J8"/>
    <x:mergeCell ref="C11:J11"/>
    <x:mergeCell ref="C12:J12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6.84375" customWidth="1"/>
    <x:col min="4" max="4" width="23.765625" customWidth="1"/>
    <x:col min="5" max="5" width="27.765625" customWidth="1"/>
    <x:col min="6" max="6" width="68.765625" customWidth="1"/>
    <x:col min="7" max="7" width="11.4609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3"/>
    </x:row>
    <x:row r="2" ht="12" customHeight="1">
      <x:c r="A2" s="4"/>
      <x:c r="B2" s="5"/>
      <x:c r="C2" s="5"/>
      <x:c r="D2" s="5"/>
      <x:c r="E2" s="5"/>
      <x:c r="F2" s="5"/>
      <x:c r="G2" s="6"/>
    </x:row>
    <x:row r="3" ht="34" customHeight="1">
      <x:c r="A3" s="4"/>
      <x:c r="B3" s="5"/>
      <x:c r="C3" s="617" t="s">
        <x:v>17</x:v>
      </x:c>
      <x:c r="D3" s="618"/>
      <x:c r="E3" s="618"/>
      <x:c r="F3" s="618"/>
      <x:c r="G3" s="618"/>
      <x:c r="H3" s="556"/>
      <x:c r="I3" s="556"/>
      <x:c r="J3" s="556"/>
      <x:c r="K3" s="556"/>
      <x:c r="L3" s="556"/>
      <x:c r="M3" s="556"/>
      <x:c r="N3" s="556"/>
    </x:row>
    <x:row r="4" ht="35.599998474121094" customHeight="1">
      <x:c r="A4" s="4"/>
      <x:c r="B4" s="5"/>
      <x:c r="C4" s="619" t="s">
        <x:v>18</x:v>
      </x:c>
      <x:c r="D4" s="620"/>
      <x:c r="E4" s="620"/>
      <x:c r="F4" s="620"/>
      <x:c r="G4" s="620"/>
      <x:c r="H4" s="556"/>
      <x:c r="I4" s="556"/>
      <x:c r="J4" s="556"/>
      <x:c r="K4" s="556"/>
      <x:c r="L4" s="556"/>
      <x:c r="M4" s="556"/>
      <x:c r="N4" s="556"/>
    </x:row>
    <x:row r="5" ht="9" customHeight="1">
      <x:c r="A5" s="4"/>
      <x:c r="B5" s="5"/>
      <x:c r="C5" s="454"/>
      <x:c r="D5" s="453"/>
      <x:c r="E5" s="453"/>
      <x:c r="F5" s="453"/>
      <x:c r="G5" s="453"/>
      <x:c r="H5" s="556"/>
      <x:c r="I5" s="556"/>
      <x:c r="J5" s="556"/>
      <x:c r="K5" s="556"/>
      <x:c r="L5" s="556"/>
      <x:c r="M5" s="556"/>
      <x:c r="N5" s="556"/>
    </x:row>
    <x:row r="6" ht="22.200000762939453" customHeight="1">
      <x:c r="A6" s="4"/>
      <x:c r="B6" s="5"/>
      <x:c r="C6" s="621" t="s">
        <x:v>19</x:v>
      </x:c>
      <x:c r="D6" s="453"/>
      <x:c r="E6" s="453"/>
      <x:c r="F6" s="453"/>
      <x:c r="G6" s="453"/>
      <x:c r="H6" s="556"/>
      <x:c r="I6" s="556"/>
      <x:c r="J6" s="556"/>
      <x:c r="K6" s="556"/>
      <x:c r="L6" s="556"/>
      <x:c r="M6" s="556"/>
      <x:c r="N6" s="556"/>
    </x:row>
    <x:row r="7" ht="22.200000762939453" customHeight="1">
      <x:c r="A7" s="4"/>
      <x:c r="B7" s="5"/>
      <x:c r="C7" s="621" t="s">
        <x:v>20</x:v>
      </x:c>
      <x:c r="D7" s="453"/>
      <x:c r="E7" s="453"/>
      <x:c r="F7" s="453"/>
      <x:c r="G7" s="453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453"/>
      <x:c r="H8" s="579"/>
      <x:c r="I8" s="579"/>
      <x:c r="J8" s="579"/>
      <x:c r="K8" s="579"/>
      <x:c r="L8" s="579"/>
      <x:c r="M8" s="579"/>
      <x:c r="N8" s="579"/>
    </x:row>
    <x:row r="9" ht="22.200000762939453" customHeight="1">
      <x:c r="A9" s="4"/>
      <x:c r="B9" s="5"/>
      <x:c r="C9" s="621" t="s">
        <x:v>21</x:v>
      </x:c>
      <x:c r="D9" s="453"/>
      <x:c r="E9" s="453"/>
      <x:c r="F9" s="453"/>
      <x:c r="G9" s="453"/>
      <x:c r="H9" s="579"/>
      <x:c r="I9" s="579"/>
      <x:c r="J9" s="579"/>
      <x:c r="K9" s="579"/>
      <x:c r="L9" s="579"/>
      <x:c r="M9" s="579"/>
      <x:c r="N9" s="579"/>
    </x:row>
    <x:row r="10" ht="34" customHeight="1">
      <x:c r="A10" s="4"/>
      <x:c r="B10" s="5"/>
      <x:c r="C10" s="622" t="s">
        <x:v>22</x:v>
      </x:c>
      <x:c r="D10" s="623" t="s">
        <x:v>23</x:v>
      </x:c>
      <x:c r="E10" s="623" t="s">
        <x:v>24</x:v>
      </x:c>
      <x:c r="F10" s="623" t="s">
        <x:v>25</x:v>
      </x:c>
      <x:c r="G10" s="623" t="s">
        <x:v>26</x:v>
      </x:c>
      <x:c r="H10" s="579"/>
      <x:c r="I10" s="579"/>
      <x:c r="J10" s="579"/>
      <x:c r="K10" s="579"/>
      <x:c r="L10" s="579"/>
      <x:c r="M10" s="579"/>
      <x:c r="N10" s="579"/>
    </x:row>
    <x:row r="11" ht="30" customHeight="1">
      <x:c r="A11" s="4"/>
      <x:c r="B11" s="5"/>
      <x:c r="C11" s="454" t="s">
        <x:v>27</x:v>
      </x:c>
      <x:c r="D11" s="558" t="s">
        <x:v>28</x:v>
      </x:c>
      <x:c r="E11" s="558" t="s">
        <x:v>29</x:v>
      </x:c>
      <x:c r="F11" s="453" t="s">
        <x:v>30</x:v>
      </x:c>
      <x:c r="G11" s="453" t="s">
        <x:v>31</x:v>
      </x:c>
      <x:c r="H11" s="579"/>
      <x:c r="I11" s="579"/>
      <x:c r="J11" s="579"/>
      <x:c r="K11" s="579"/>
      <x:c r="L11" s="579"/>
      <x:c r="M11" s="579"/>
      <x:c r="N11" s="579"/>
    </x:row>
    <x:row r="12" ht="30" customHeight="1">
      <x:c r="A12" s="4"/>
      <x:c r="B12" s="5"/>
      <x:c r="C12" s="451" t="s">
        <x:v>32</x:v>
      </x:c>
      <x:c r="D12" s="624" t="s">
        <x:v>33</x:v>
      </x:c>
      <x:c r="E12" s="624" t="s">
        <x:v>34</x:v>
      </x:c>
      <x:c r="F12" s="450" t="s">
        <x:v>35</x:v>
      </x:c>
      <x:c r="G12" s="450" t="s">
        <x:v>36</x:v>
      </x:c>
      <x:c r="H12" s="579"/>
      <x:c r="I12" s="579"/>
      <x:c r="J12" s="579"/>
      <x:c r="K12" s="579"/>
      <x:c r="L12" s="579"/>
      <x:c r="M12" s="579"/>
      <x:c r="N12" s="579"/>
    </x:row>
    <x:row r="13" ht="30" customHeight="1">
      <x:c r="A13" s="4"/>
      <x:c r="B13" s="5"/>
      <x:c r="C13" s="454" t="s">
        <x:v>37</x:v>
      </x:c>
      <x:c r="D13" s="558" t="s">
        <x:v>38</x:v>
      </x:c>
      <x:c r="E13" s="558" t="s">
        <x:v>39</x:v>
      </x:c>
      <x:c r="F13" s="453" t="s">
        <x:v>40</x:v>
      </x:c>
      <x:c r="G13" s="453" t="s">
        <x:v>41</x:v>
      </x:c>
      <x:c r="H13" s="579"/>
      <x:c r="I13" s="579"/>
      <x:c r="J13" s="579"/>
      <x:c r="K13" s="579"/>
      <x:c r="L13" s="579"/>
      <x:c r="M13" s="579"/>
      <x:c r="N13" s="579"/>
    </x:row>
    <x:row r="14" ht="30" customHeight="1">
      <x:c r="A14" s="4"/>
      <x:c r="B14" s="5"/>
      <x:c r="C14" s="451" t="s">
        <x:v>42</x:v>
      </x:c>
      <x:c r="D14" s="624" t="s">
        <x:v>43</x:v>
      </x:c>
      <x:c r="E14" s="624" t="s">
        <x:v>44</x:v>
      </x:c>
      <x:c r="F14" s="450" t="s">
        <x:v>45</x:v>
      </x:c>
      <x:c r="G14" s="450" t="s">
        <x:v>46</x:v>
      </x:c>
      <x:c r="H14" s="579"/>
      <x:c r="I14" s="579"/>
      <x:c r="J14" s="579"/>
      <x:c r="K14" s="579"/>
      <x:c r="L14" s="579"/>
      <x:c r="M14" s="579"/>
      <x:c r="N14" s="579"/>
    </x:row>
    <x:row r="15" ht="30" customHeight="1">
      <x:c r="A15" s="4"/>
      <x:c r="B15" s="5"/>
      <x:c r="C15" s="454" t="s">
        <x:v>47</x:v>
      </x:c>
      <x:c r="D15" s="558" t="s">
        <x:v>48</x:v>
      </x:c>
      <x:c r="E15" s="558" t="s">
        <x:v>49</x:v>
      </x:c>
      <x:c r="F15" s="453" t="s">
        <x:v>50</x:v>
      </x:c>
      <x:c r="G15" s="453" t="s">
        <x:v>51</x:v>
      </x:c>
      <x:c r="H15" s="579"/>
      <x:c r="I15" s="579"/>
      <x:c r="J15" s="579"/>
      <x:c r="K15" s="579"/>
      <x:c r="L15" s="579"/>
      <x:c r="M15" s="579"/>
      <x:c r="N15" s="579"/>
    </x:row>
    <x:row r="16" ht="30" customHeight="1">
      <x:c r="A16" s="4"/>
      <x:c r="B16" s="5"/>
      <x:c r="C16" s="451" t="s">
        <x:v>52</x:v>
      </x:c>
      <x:c r="D16" s="624" t="s">
        <x:v>53</x:v>
      </x:c>
      <x:c r="E16" s="624" t="s">
        <x:v>54</x:v>
      </x:c>
      <x:c r="F16" s="450" t="s">
        <x:v>55</x:v>
      </x:c>
      <x:c r="G16" s="450" t="s">
        <x:v>56</x:v>
      </x:c>
      <x:c r="H16" s="579"/>
      <x:c r="I16" s="579"/>
      <x:c r="J16" s="579"/>
      <x:c r="K16" s="579"/>
      <x:c r="L16" s="579"/>
      <x:c r="M16" s="579"/>
      <x:c r="N16" s="579"/>
    </x:row>
    <x:row r="17" ht="30" customHeight="1">
      <x:c r="A17" s="4"/>
      <x:c r="B17" s="5"/>
      <x:c r="C17" s="454" t="s">
        <x:v>57</x:v>
      </x:c>
      <x:c r="D17" s="558" t="s">
        <x:v>58</x:v>
      </x:c>
      <x:c r="E17" s="558" t="s">
        <x:v>59</x:v>
      </x:c>
      <x:c r="F17" s="453" t="s">
        <x:v>60</x:v>
      </x:c>
      <x:c r="G17" s="453" t="s">
        <x:v>61</x:v>
      </x:c>
      <x:c r="H17" s="579"/>
      <x:c r="I17" s="579"/>
      <x:c r="J17" s="579"/>
      <x:c r="K17" s="579"/>
      <x:c r="L17" s="579"/>
      <x:c r="M17" s="579"/>
      <x:c r="N17" s="579"/>
    </x:row>
    <x:row r="18" ht="30" customHeight="1">
      <x:c r="A18" s="4"/>
      <x:c r="B18" s="5"/>
      <x:c r="C18" s="451" t="s">
        <x:v>62</x:v>
      </x:c>
      <x:c r="D18" s="624" t="s">
        <x:v>63</x:v>
      </x:c>
      <x:c r="E18" s="624" t="s">
        <x:v>64</x:v>
      </x:c>
      <x:c r="F18" s="450" t="s">
        <x:v>65</x:v>
      </x:c>
      <x:c r="G18" s="450" t="s">
        <x:v>66</x:v>
      </x:c>
      <x:c r="H18" s="579"/>
      <x:c r="I18" s="579"/>
      <x:c r="J18" s="579"/>
      <x:c r="K18" s="579"/>
      <x:c r="L18" s="579"/>
      <x:c r="M18" s="579"/>
      <x:c r="N18" s="579"/>
    </x:row>
    <x:row r="19" ht="30" customHeight="1">
      <x:c r="A19" s="4"/>
      <x:c r="B19" s="5"/>
      <x:c r="C19" s="454" t="s">
        <x:v>67</x:v>
      </x:c>
      <x:c r="D19" s="558" t="s">
        <x:v>68</x:v>
      </x:c>
      <x:c r="E19" s="558" t="s">
        <x:v>69</x:v>
      </x:c>
      <x:c r="F19" s="453" t="s">
        <x:v>70</x:v>
      </x:c>
      <x:c r="G19" s="453" t="s">
        <x:v>71</x:v>
      </x:c>
      <x:c r="H19" s="579"/>
      <x:c r="I19" s="579"/>
      <x:c r="J19" s="579"/>
      <x:c r="K19" s="579"/>
      <x:c r="L19" s="579"/>
      <x:c r="M19" s="579"/>
      <x:c r="N19" s="579"/>
    </x:row>
    <x:row r="20" ht="30" customHeight="1">
      <x:c r="A20" s="4"/>
      <x:c r="B20" s="5"/>
      <x:c r="C20" s="451" t="s">
        <x:v>72</x:v>
      </x:c>
      <x:c r="D20" s="624" t="s">
        <x:v>73</x:v>
      </x:c>
      <x:c r="E20" s="624" t="s">
        <x:v>74</x:v>
      </x:c>
      <x:c r="F20" s="450" t="s">
        <x:v>75</x:v>
      </x:c>
      <x:c r="G20" s="450" t="s">
        <x:v>76</x:v>
      </x:c>
      <x:c r="H20" s="579"/>
      <x:c r="I20" s="579"/>
      <x:c r="J20" s="579"/>
      <x:c r="K20" s="579"/>
      <x:c r="L20" s="579"/>
      <x:c r="M20" s="579"/>
      <x:c r="N20" s="579"/>
    </x:row>
    <x:row r="21" ht="30" customHeight="1">
      <x:c r="A21" s="4"/>
      <x:c r="B21" s="5"/>
      <x:c r="C21" s="454" t="s">
        <x:v>77</x:v>
      </x:c>
      <x:c r="D21" s="558" t="s">
        <x:v>78</x:v>
      </x:c>
      <x:c r="E21" s="558" t="s">
        <x:v>79</x:v>
      </x:c>
      <x:c r="F21" s="453" t="s">
        <x:v>80</x:v>
      </x:c>
      <x:c r="G21" s="453" t="s">
        <x:v>81</x:v>
      </x:c>
      <x:c r="H21" s="579"/>
      <x:c r="I21" s="579"/>
      <x:c r="J21" s="579"/>
      <x:c r="K21" s="579"/>
      <x:c r="L21" s="579"/>
      <x:c r="M21" s="579"/>
      <x:c r="N21" s="579"/>
    </x:row>
    <x:row r="22" ht="30" customHeight="1">
      <x:c r="A22" s="4"/>
      <x:c r="B22" s="5"/>
      <x:c r="C22" s="451" t="s">
        <x:v>82</x:v>
      </x:c>
      <x:c r="D22" s="624" t="s">
        <x:v>83</x:v>
      </x:c>
      <x:c r="E22" s="624" t="s">
        <x:v>84</x:v>
      </x:c>
      <x:c r="F22" s="450" t="s">
        <x:v>85</x:v>
      </x:c>
      <x:c r="G22" s="450" t="s">
        <x:v>86</x:v>
      </x:c>
      <x:c r="H22" s="579"/>
      <x:c r="I22" s="579"/>
      <x:c r="J22" s="579"/>
      <x:c r="K22" s="579"/>
      <x:c r="L22" s="579"/>
      <x:c r="M22" s="579"/>
      <x:c r="N22" s="579"/>
    </x:row>
    <x:row r="23" ht="30" customHeight="1">
      <x:c r="A23" s="4"/>
      <x:c r="B23" s="5"/>
      <x:c r="C23" s="454" t="s">
        <x:v>87</x:v>
      </x:c>
      <x:c r="D23" s="558" t="s">
        <x:v>88</x:v>
      </x:c>
      <x:c r="E23" s="558" t="s">
        <x:v>89</x:v>
      </x:c>
      <x:c r="F23" s="453" t="s">
        <x:v>90</x:v>
      </x:c>
      <x:c r="G23" s="453" t="s">
        <x:v>91</x:v>
      </x:c>
      <x:c r="H23" s="579"/>
      <x:c r="I23" s="579"/>
      <x:c r="J23" s="579"/>
      <x:c r="K23" s="579"/>
      <x:c r="L23" s="579"/>
      <x:c r="M23" s="579"/>
      <x:c r="N23" s="579"/>
    </x:row>
    <x:row r="24" ht="30" customHeight="1">
      <x:c r="A24" s="4"/>
      <x:c r="B24" s="5"/>
      <x:c r="C24" s="451" t="s">
        <x:v>92</x:v>
      </x:c>
      <x:c r="D24" s="624" t="s">
        <x:v>93</x:v>
      </x:c>
      <x:c r="E24" s="624" t="s">
        <x:v>94</x:v>
      </x:c>
      <x:c r="F24" s="450" t="s">
        <x:v>95</x:v>
      </x:c>
      <x:c r="G24" s="450" t="s">
        <x:v>96</x:v>
      </x:c>
      <x:c r="H24" s="579"/>
      <x:c r="I24" s="579"/>
      <x:c r="J24" s="579"/>
      <x:c r="K24" s="579"/>
      <x:c r="L24" s="579"/>
      <x:c r="M24" s="579"/>
      <x:c r="N24" s="579"/>
    </x:row>
    <x:row r="25" ht="30" customHeight="1">
      <x:c r="A25" s="4"/>
      <x:c r="B25" s="5"/>
      <x:c r="C25" s="454" t="s">
        <x:v>97</x:v>
      </x:c>
      <x:c r="D25" s="558" t="s">
        <x:v>98</x:v>
      </x:c>
      <x:c r="E25" s="558" t="s">
        <x:v>99</x:v>
      </x:c>
      <x:c r="F25" s="453" t="s">
        <x:v>100</x:v>
      </x:c>
      <x:c r="G25" s="453" t="s">
        <x:v>101</x:v>
      </x:c>
      <x:c r="H25" s="579"/>
      <x:c r="I25" s="579"/>
      <x:c r="J25" s="579"/>
      <x:c r="K25" s="579"/>
      <x:c r="L25" s="579"/>
      <x:c r="M25" s="579"/>
      <x:c r="N25" s="579"/>
    </x:row>
    <x:row r="26" ht="30" customHeight="1">
      <x:c r="A26" s="4"/>
      <x:c r="B26" s="5"/>
      <x:c r="C26" s="451" t="s">
        <x:v>102</x:v>
      </x:c>
      <x:c r="D26" s="624" t="s">
        <x:v>103</x:v>
      </x:c>
      <x:c r="E26" s="624" t="s">
        <x:v>104</x:v>
      </x:c>
      <x:c r="F26" s="450" t="s">
        <x:v>105</x:v>
      </x:c>
      <x:c r="G26" s="450" t="s">
        <x:v>106</x:v>
      </x:c>
      <x:c r="H26" s="579"/>
      <x:c r="I26" s="579"/>
      <x:c r="J26" s="579"/>
      <x:c r="K26" s="579"/>
      <x:c r="L26" s="579"/>
      <x:c r="M26" s="579"/>
      <x:c r="N26" s="579"/>
    </x:row>
    <x:row r="27" ht="30" customHeight="1">
      <x:c r="A27" s="4"/>
      <x:c r="B27" s="5"/>
      <x:c r="C27" s="454" t="s">
        <x:v>107</x:v>
      </x:c>
      <x:c r="D27" s="558" t="s">
        <x:v>108</x:v>
      </x:c>
      <x:c r="E27" s="558" t="s">
        <x:v>109</x:v>
      </x:c>
      <x:c r="F27" s="453" t="s">
        <x:v>110</x:v>
      </x:c>
      <x:c r="G27" s="453" t="s">
        <x:v>111</x:v>
      </x:c>
      <x:c r="H27" s="579"/>
      <x:c r="I27" s="579"/>
      <x:c r="J27" s="579"/>
      <x:c r="K27" s="579"/>
      <x:c r="L27" s="579"/>
      <x:c r="M27" s="579"/>
      <x:c r="N27" s="579"/>
    </x:row>
    <x:row r="28" ht="22.200000762939453" customHeight="1">
      <x:c r="A28" s="4"/>
      <x:c r="B28" s="5"/>
      <x:c r="C28" s="621" t="s">
        <x:v>112</x:v>
      </x:c>
      <x:c r="D28" s="453"/>
      <x:c r="E28" s="453"/>
      <x:c r="F28" s="453"/>
      <x:c r="G28" s="453"/>
      <x:c r="H28" s="579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453"/>
      <x:c r="E29" s="453"/>
      <x:c r="F29" s="453"/>
      <x:c r="G29" s="453"/>
      <x:c r="H29" s="579"/>
      <x:c r="I29" s="579"/>
      <x:c r="J29" s="579"/>
      <x:c r="K29" s="579"/>
      <x:c r="L29" s="579"/>
      <x:c r="M29" s="579"/>
      <x:c r="N29" s="579"/>
    </x:row>
    <x:row r="30" ht="22.200000762939453" customHeight="1">
      <x:c r="A30" s="4"/>
      <x:c r="B30" s="5"/>
      <x:c r="C30" s="621" t="s">
        <x:v>113</x:v>
      </x:c>
      <x:c r="D30" s="453"/>
      <x:c r="E30" s="453"/>
      <x:c r="F30" s="453"/>
      <x:c r="G30" s="453"/>
      <x:c r="H30" s="579"/>
      <x:c r="I30" s="579"/>
      <x:c r="J30" s="579"/>
      <x:c r="K30" s="579"/>
      <x:c r="L30" s="579"/>
      <x:c r="M30" s="579"/>
      <x:c r="N30" s="579"/>
    </x:row>
    <x:row r="31" ht="22.200000762939453" customHeight="1">
      <x:c r="A31" s="7"/>
      <x:c r="B31" s="8"/>
      <x:c r="C31" s="621" t="s">
        <x:v>114</x:v>
      </x:c>
      <x:c r="D31" s="453"/>
      <x:c r="E31" s="453"/>
      <x:c r="F31" s="453"/>
      <x:c r="G31" s="453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GII RESEARCH NOTE NO. 2 | MODEL CONTENTS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Find the financial model, source ledger and the question each exhibit answers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Start with the overview, then capital costs, landlord NOI, power, tenant credit and downside liquidity.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30.219999313354492" hidden="0" customHeight="1">
      <x:c r="P211" s="597" t="str">
        <x:v>01 EXECUTIVE UNDERWRITING SNAPSHOT</x:v>
      </x:c>
      <x:c r="Q211" s="1041" t="str">
        <x:f>"pp. 4–5"</x:f>
        <x:v>pp. 4–5</x:v>
      </x:c>
      <x:c r="R211" s="599" t="str">
        <x:v>Start</x:v>
      </x:c>
      <x:c r="S211" s="599" t="str">
        <x:v>E01_Overview</x:v>
      </x:c>
    </x:row>
    <x:row r="212" ht="17.110000610351562" hidden="0" customHeight="1">
      <x:c r="P212" s="509" t="str">
        <x:v>02 THE UNDERWRITING ASSUMPTIONS</x:v>
      </x:c>
      <x:c r="Q212" s="1042" t="str">
        <x:f>"pp. 6–7"</x:f>
        <x:v>pp. 6–7</x:v>
      </x:c>
      <x:c r="R212" s="510" t="str">
        <x:v>Inputs</x:v>
      </x:c>
      <x:c r="S212" s="510" t="str">
        <x:v>E02_Inputs</x:v>
      </x:c>
    </x:row>
    <x:row r="213" ht="30.219999313354492" hidden="0" customHeight="1">
      <x:c r="P213" s="597" t="str">
        <x:v>03 DEVELOPMENT COST &amp; CAPITAL STACK</x:v>
      </x:c>
      <x:c r="Q213" s="1041" t="str">
        <x:f>"pp. 8–9"</x:f>
        <x:v>pp. 8–9</x:v>
      </x:c>
      <x:c r="R213" s="599" t="str">
        <x:v>Development</x:v>
      </x:c>
      <x:c r="S213" s="599" t="str">
        <x:v>E03_Development</x:v>
      </x:c>
    </x:row>
    <x:row r="214" ht="30.219999313354492" hidden="0" customHeight="1">
      <x:c r="P214" s="509" t="str">
        <x:v>04 DELIVERY SCHEDULE &amp; INTEREST CARRY</x:v>
      </x:c>
      <x:c r="Q214" s="1042" t="str">
        <x:f>"pp. 10–11"</x:f>
        <x:v>pp. 10–11</x:v>
      </x:c>
      <x:c r="R214" s="510" t="str">
        <x:v>Construction</x:v>
      </x:c>
      <x:c r="S214" s="510" t="str">
        <x:v>E04_Construction</x:v>
      </x:c>
    </x:row>
    <x:row r="215" ht="17.110000610351562" hidden="0" customHeight="1">
      <x:c r="P215" s="597" t="str">
        <x:v>05 LANDLORD CASH FLOW &amp; NOI</x:v>
      </x:c>
      <x:c r="Q215" s="1041" t="str">
        <x:f>"pp. 12–13"</x:f>
        <x:v>pp. 12–13</x:v>
      </x:c>
      <x:c r="R215" s="599" t="str">
        <x:v>Landlord</x:v>
      </x:c>
      <x:c r="S215" s="599" t="str">
        <x:v>E05_Landlord</x:v>
      </x:c>
    </x:row>
    <x:row r="216" ht="30.219999313354492" hidden="0" customHeight="1">
      <x:c r="P216" s="509" t="str">
        <x:v>06 ELECTRICITY &amp; CAPACITY ECONOMICS</x:v>
      </x:c>
      <x:c r="Q216" s="1042" t="str">
        <x:f>"pp. 14–15"</x:f>
        <x:v>pp. 14–15</x:v>
      </x:c>
      <x:c r="R216" s="510" t="str">
        <x:v>Power</x:v>
      </x:c>
      <x:c r="S216" s="510" t="str">
        <x:v>E06_Power</x:v>
      </x:c>
    </x:row>
    <x:row r="217" ht="17.110000610351562" hidden="0" customHeight="1">
      <x:c r="P217" s="597" t="str">
        <x:v>07 PROPERTY VERSUS GPU CLOUD</x:v>
      </x:c>
      <x:c r="Q217" s="1041" t="str">
        <x:f>"pp. 16–17"</x:f>
        <x:v>pp. 16–17</x:v>
      </x:c>
      <x:c r="R217" s="599" t="str">
        <x:v>Integrated</x:v>
      </x:c>
      <x:c r="S217" s="599" t="str">
        <x:v>E07_Integrated</x:v>
      </x:c>
    </x:row>
    <x:row r="218" ht="17.110000610351562" hidden="0" customHeight="1">
      <x:c r="P218" s="509" t="str">
        <x:v>08 PROPERTY-RETURN SENSITIVITIES</x:v>
      </x:c>
      <x:c r="Q218" s="1042" t="str">
        <x:f>"pp. 18–19"</x:f>
        <x:v>pp. 18–19</x:v>
      </x:c>
      <x:c r="R218" s="510" t="str">
        <x:v>Sensitivity</x:v>
      </x:c>
      <x:c r="S218" s="510" t="str">
        <x:v>E08_Sensitivity</x:v>
      </x:c>
    </x:row>
    <x:row r="219" ht="17.110000610351562" hidden="0" customHeight="1">
      <x:c r="P219" s="597" t="str">
        <x:v>09 EVIDENCE &amp; SOURCING LEDGER</x:v>
      </x:c>
      <x:c r="Q219" s="1041" t="str">
        <x:f>"pp. 20–21"</x:f>
        <x:v>pp. 20–21</x:v>
      </x:c>
      <x:c r="R219" s="599" t="str">
        <x:v>Research</x:v>
      </x:c>
      <x:c r="S219" s="599" t="str">
        <x:v>E09_Research</x:v>
      </x:c>
    </x:row>
    <x:row r="220" ht="17.110000610351562" hidden="0" customHeight="1">
      <x:c r="P220" s="509" t="str">
        <x:v>10 MONTHLY CASH FLOW &amp; RETURNS</x:v>
      </x:c>
      <x:c r="Q220" s="1042" t="str">
        <x:f>"pp. 22–23"</x:f>
        <x:v>pp. 22–23</x:v>
      </x:c>
      <x:c r="R220" s="510" t="str">
        <x:v>Monthly CF</x:v>
      </x:c>
      <x:c r="S220" s="510" t="str">
        <x:v>E10_Monthly_Returns</x:v>
      </x:c>
    </x:row>
    <x:row r="221" ht="30.219999313354492" hidden="0" customHeight="1">
      <x:c r="P221" s="597" t="str">
        <x:v>11 MARKET SIZE &amp; COMPETITIVE SUPPLY</x:v>
      </x:c>
      <x:c r="Q221" s="1041" t="str">
        <x:f>"pp. 24–25"</x:f>
        <x:v>pp. 24–25</x:v>
      </x:c>
      <x:c r="R221" s="599" t="str">
        <x:v>Market</x:v>
      </x:c>
      <x:c r="S221" s="599" t="str">
        <x:v>E11_Market</x:v>
      </x:c>
    </x:row>
    <x:row r="222" ht="17.110000610351562" hidden="0" customHeight="1">
      <x:c r="P222" s="509" t="str">
        <x:v>12 NEOCLOUD TENANT CREDIT</x:v>
      </x:c>
      <x:c r="Q222" s="1042" t="str">
        <x:f>"pp. 26–27"</x:f>
        <x:v>pp. 26–27</x:v>
      </x:c>
      <x:c r="R222" s="510" t="str">
        <x:v>Tenant Credit</x:v>
      </x:c>
      <x:c r="S222" s="510" t="str">
        <x:v>E12_Tenant_Credit</x:v>
      </x:c>
    </x:row>
    <x:row r="223" ht="30.219999313354492" hidden="0" customHeight="1">
      <x:c r="P223" s="597" t="str">
        <x:v>13 GMI CLOUD PUBLIC FINANCING CASE</x:v>
      </x:c>
      <x:c r="Q223" s="1041" t="str">
        <x:f>"pp. 28–29"</x:f>
        <x:v>pp. 28–29</x:v>
      </x:c>
      <x:c r="R223" s="599" t="str">
        <x:v>GMI Case</x:v>
      </x:c>
      <x:c r="S223" s="599" t="str">
        <x:v>E13_GMI_Case</x:v>
      </x:c>
    </x:row>
    <x:row r="224" ht="17.110000610351562" hidden="0" customHeight="1">
      <x:c r="P224" s="509" t="str">
        <x:v>14 LEASE DOCUMENT DILIGENCE</x:v>
      </x:c>
      <x:c r="Q224" s="1042" t="str">
        <x:f>"pp. 30–31"</x:f>
        <x:v>pp. 30–31</x:v>
      </x:c>
      <x:c r="R224" s="510" t="str">
        <x:v>Lease Screen</x:v>
      </x:c>
      <x:c r="S224" s="510" t="str">
        <x:v>E14_Lease</x:v>
      </x:c>
    </x:row>
    <x:row r="225" ht="17.110000610351562" hidden="0" customHeight="1">
      <x:c r="P225" s="597" t="str">
        <x:v>15 CASH-NEED DOWNSIDE ANALYSIS</x:v>
      </x:c>
      <x:c r="Q225" s="1041" t="str">
        <x:f>"pp. 32–33"</x:f>
        <x:v>pp. 32–33</x:v>
      </x:c>
      <x:c r="R225" s="599" t="str">
        <x:v>Downside</x:v>
      </x:c>
      <x:c r="S225" s="599" t="str">
        <x:v>E15_Downside</x:v>
      </x:c>
    </x:row>
    <x:row r="226" ht="30.219999313354492" hidden="0" customHeight="1">
      <x:c r="P226" s="509" t="str">
        <x:v>16 CELL-LEVEL SOURCE TRACEABILITY</x:v>
      </x:c>
      <x:c r="Q226" s="1042" t="str">
        <x:f>"pp. 34–35"</x:f>
        <x:v>pp. 34–35</x:v>
      </x:c>
      <x:c r="R226" s="510" t="str">
        <x:v>Trace</x:v>
      </x:c>
      <x:c r="S226" s="510" t="str">
        <x:v>E16_Trace</x:v>
      </x:c>
    </x:row>
    <x:row r="227" ht="17.110000610351562" hidden="0" customHeight="1">
      <x:c r="P227" s="597" t="str">
        <x:v>17 FINANCIAL MODEL CONTROLS</x:v>
      </x:c>
      <x:c r="Q227" s="1041" t="str">
        <x:f>"pp. 36–37"</x:f>
        <x:v>pp. 36–37</x:v>
      </x:c>
      <x:c r="R227" s="599" t="str">
        <x:v>Checks</x:v>
      </x:c>
      <x:c r="S227" s="599" t="str">
        <x:v>E17_Checks</x:v>
      </x:c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02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8:G28"/>
    <x:mergeCell ref="C30:G30"/>
    <x:mergeCell ref="C31:G31"/>
    <x:mergeCell ref="C3:G3"/>
    <x:mergeCell ref="C4:G4"/>
    <x:mergeCell ref="C6:G6"/>
    <x:mergeCell ref="C7:G7"/>
    <x:mergeCell ref="C9:G9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hyperlinks>
    <x:hyperlink ref="D11" location="'Start'!C3"/>
    <x:hyperlink ref="E11" location="'E01_Overview'!C3"/>
    <x:hyperlink ref="D12" location="'Inputs'!C3"/>
    <x:hyperlink ref="E12" location="'E02_Inputs'!C3"/>
    <x:hyperlink ref="D13" location="'Development'!C3"/>
    <x:hyperlink ref="E13" location="'E03_Development'!C3"/>
    <x:hyperlink ref="D14" location="'Construction'!C3"/>
    <x:hyperlink ref="E14" location="'E04_Construction'!C3"/>
    <x:hyperlink ref="D15" location="'Landlord'!C3"/>
    <x:hyperlink ref="E15" location="'E05_Landlord'!C3"/>
    <x:hyperlink ref="D16" location="'Power'!C3"/>
    <x:hyperlink ref="E16" location="'E06_Power'!C3"/>
    <x:hyperlink ref="D17" location="'Integrated'!C3"/>
    <x:hyperlink ref="E17" location="'E07_Integrated'!C3"/>
    <x:hyperlink ref="D18" location="'Sensitivity'!C3"/>
    <x:hyperlink ref="E18" location="'E08_Sensitivity'!C3"/>
    <x:hyperlink ref="D19" location="'Research'!C3"/>
    <x:hyperlink ref="E19" location="'E09_Research'!C3"/>
    <x:hyperlink ref="D20" location="'Monthly CF'!C3"/>
    <x:hyperlink ref="E20" location="'E10_Monthly_Returns'!C3"/>
    <x:hyperlink ref="D21" location="'Market'!C3"/>
    <x:hyperlink ref="E21" location="'E11_Market'!C3"/>
    <x:hyperlink ref="D22" location="'Tenant Credit'!C3"/>
    <x:hyperlink ref="E22" location="'E12_Tenant_Credit'!C3"/>
    <x:hyperlink ref="D23" location="'GMI Case'!C3"/>
    <x:hyperlink ref="E23" location="'E13_GMI_Case'!C3"/>
    <x:hyperlink ref="D24" location="'Lease Screen'!C3"/>
    <x:hyperlink ref="E24" location="'E14_Lease'!C3"/>
    <x:hyperlink ref="D25" location="'Downside'!C3"/>
    <x:hyperlink ref="E25" location="'E15_Downside'!C3"/>
    <x:hyperlink ref="D26" location="'Trace'!C3"/>
    <x:hyperlink ref="E26" location="'E16_Trace'!C3"/>
    <x:hyperlink ref="D27" location="'Checks'!C3"/>
    <x:hyperlink ref="E27" location="'E17_Checks'!C3"/>
  </x:hyperlink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39.3828125" customWidth="1"/>
    <x:col min="4" max="5" width="26.23046875" customWidth="1"/>
    <x:col min="6" max="6" width="48.76562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42" customHeight="1">
      <x:c r="A3" s="4"/>
      <x:c r="B3" s="5"/>
      <x:c r="C3" s="629" t="s">
        <x:v>115</x:v>
      </x:c>
      <x:c r="D3" s="630"/>
      <x:c r="E3" s="630" t="s">
        <x:v>116</x:v>
      </x:c>
      <x:c r="F3" s="630" t="str">
        <x:v>22 OCT 2026 | RN 02</x:v>
      </x:c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tr">
        <x:v>GII 10MW Underwriting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22.200000762939453" customHeight="1">
      <x:c r="A5" s="4"/>
      <x:c r="B5" s="5"/>
      <x:c r="C5" s="621" t="str">
        <x:v>Research Note No. 2 companion | 10 MW Real Estate Underwriting | Version 1.0</x:v>
      </x:c>
      <x:c r="D5" s="453"/>
      <x:c r="E5" s="453"/>
      <x:c r="F5" s="453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36" customHeight="1">
      <x:c r="A7" s="4"/>
      <x:c r="B7" s="5"/>
      <x:c r="C7" s="632" t="s">
        <x:v>117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4" customHeight="1">
      <x:c r="A10" s="4"/>
      <x:c r="B10" s="5"/>
      <x:c r="C10" s="622" t="s">
        <x:v>118</x:v>
      </x:c>
      <x:c r="D10" s="623" t="s">
        <x:v>119</x:v>
      </x:c>
      <x:c r="E10" s="623" t="s">
        <x:v>120</x:v>
      </x:c>
      <x:c r="F10" s="623" t="s">
        <x:v>121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122</x:v>
      </x:c>
      <x:c r="D11" s="453" t="s">
        <x:v>28</x:v>
      </x:c>
      <x:c r="E11" s="453" t="s">
        <x:v>29</x:v>
      </x:c>
      <x:c r="F11" s="453" t="s">
        <x:v>123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124</x:v>
      </x:c>
      <x:c r="D12" s="450" t="s">
        <x:v>33</x:v>
      </x:c>
      <x:c r="E12" s="450" t="s">
        <x:v>34</x:v>
      </x:c>
      <x:c r="F12" s="450" t="s">
        <x:v>125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126</x:v>
      </x:c>
      <x:c r="D13" s="453" t="s">
        <x:v>127</x:v>
      </x:c>
      <x:c r="E13" s="453" t="s">
        <x:v>128</x:v>
      </x:c>
      <x:c r="F13" s="453" t="s">
        <x:v>129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130</x:v>
      </x:c>
      <x:c r="D14" s="450" t="s">
        <x:v>131</x:v>
      </x:c>
      <x:c r="E14" s="450" t="s">
        <x:v>132</x:v>
      </x:c>
      <x:c r="F14" s="450" t="s">
        <x:v>133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134</x:v>
      </x:c>
      <x:c r="D15" s="453" t="s">
        <x:v>135</x:v>
      </x:c>
      <x:c r="E15" s="453" t="s">
        <x:v>136</x:v>
      </x:c>
      <x:c r="F15" s="453" t="s">
        <x:v>137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138</x:v>
      </x:c>
      <x:c r="D16" s="450" t="s">
        <x:v>139</x:v>
      </x:c>
      <x:c r="E16" s="450" t="s">
        <x:v>140</x:v>
      </x:c>
      <x:c r="F16" s="450" t="s">
        <x:v>141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9" customHeight="1">
      <x:c r="A17" s="4"/>
      <x:c r="B17" s="5"/>
      <x:c r="C17" s="454"/>
      <x:c r="D17" s="453"/>
      <x:c r="E17" s="453"/>
      <x:c r="F17" s="453"/>
      <x:c r="G17" s="579"/>
      <x:c r="H17" s="579"/>
      <x:c r="I17" s="579"/>
      <x:c r="J17" s="579"/>
      <x:c r="K17" s="579"/>
      <x:c r="L17" s="579"/>
      <x:c r="M17" s="579"/>
      <x:c r="N17" s="579"/>
    </x:row>
    <x:row r="18" ht="34.29999923706055" customHeight="1">
      <x:c r="A18" s="4"/>
      <x:c r="B18" s="5"/>
      <x:c r="C18" s="621" t="str">
        <x:v>PUBLICATION RULE | Readable Word source notes identify model tabs; exact cell traceability remains in Excel. Every worksheet has a one-page landscape print view.</x:v>
      </x:c>
      <x:c r="D18" s="453"/>
      <x:c r="E18" s="453"/>
      <x:c r="F18" s="453"/>
      <x:c r="G18" s="579"/>
      <x:c r="H18" s="579"/>
      <x:c r="I18" s="579"/>
      <x:c r="J18" s="579"/>
      <x:c r="K18" s="579"/>
      <x:c r="L18" s="579"/>
      <x:c r="M18" s="579"/>
      <x:c r="N18" s="579"/>
    </x:row>
    <x:row r="19" ht="9" customHeight="1">
      <x:c r="A19" s="4"/>
      <x:c r="B19" s="5"/>
      <x:c r="C19" s="454"/>
      <x:c r="D19" s="453"/>
      <x:c r="E19" s="453"/>
      <x:c r="F19" s="453"/>
      <x:c r="G19" s="579"/>
      <x:c r="H19" s="579"/>
      <x:c r="I19" s="579"/>
      <x:c r="J19" s="579"/>
      <x:c r="K19" s="579"/>
      <x:c r="L19" s="579"/>
      <x:c r="M19" s="579"/>
      <x:c r="N19" s="579"/>
    </x:row>
    <x:row r="20" ht="9" customHeight="1">
      <x:c r="A20" s="4"/>
      <x:c r="B20" s="5"/>
      <x:c r="C20" s="454"/>
      <x:c r="D20" s="453"/>
      <x:c r="E20" s="453"/>
      <x:c r="F20" s="453"/>
      <x:c r="G20" s="579"/>
      <x:c r="H20" s="579"/>
      <x:c r="I20" s="579"/>
      <x:c r="J20" s="579"/>
      <x:c r="K20" s="579"/>
      <x:c r="L20" s="579"/>
      <x:c r="M20" s="579"/>
      <x:c r="N20" s="579"/>
    </x:row>
    <x:row r="21" ht="34" customHeight="1">
      <x:c r="A21" s="4"/>
      <x:c r="B21" s="5"/>
      <x:c r="C21" s="622" t="s">
        <x:v>142</x:v>
      </x:c>
      <x:c r="D21" s="623" t="s">
        <x:v>143</x:v>
      </x:c>
      <x:c r="E21" s="623" t="s">
        <x:v>144</x:v>
      </x:c>
      <x:c r="F21" s="623" t="s">
        <x:v>145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146</x:v>
      </x:c>
      <x:c r="D22" s="634" t="n">
        <x:f>Inputs!D7</x:f>
        <x:v>10</x:v>
      </x:c>
      <x:c r="E22" s="450" t="s">
        <x:v>147</x:v>
      </x:c>
      <x:c r="F22" s="450" t="s">
        <x:v>148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149</x:v>
      </x:c>
      <x:c r="D23" s="452" t="n">
        <x:f>Development!D25</x:f>
        <x:v>194900000</x:v>
      </x:c>
      <x:c r="E23" s="453" t="s">
        <x:v>150</x:v>
      </x:c>
      <x:c r="F23" s="453" t="s">
        <x:v>151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152</x:v>
      </x:c>
      <x:c r="D24" s="449" t="n">
        <x:f>Development!D31</x:f>
        <x:v>207728600</x:v>
      </x:c>
      <x:c r="E24" s="450" t="s">
        <x:v>153</x:v>
      </x:c>
      <x:c r="F24" s="450" t="s">
        <x:v>154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155</x:v>
      </x:c>
      <x:c r="D25" s="452" t="n">
        <x:f>Landlord!D9</x:f>
        <x:v>27000000</x:v>
      </x:c>
      <x:c r="E25" s="453" t="s">
        <x:v>156</x:v>
      </x:c>
      <x:c r="F25" s="453" t="s">
        <x:v>157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158</x:v>
      </x:c>
      <x:c r="D26" s="449" t="n">
        <x:f>Landlord!D21</x:f>
        <x:v>19750000</x:v>
      </x:c>
      <x:c r="E26" s="450" t="s">
        <x:v>159</x:v>
      </x:c>
      <x:c r="F26" s="450" t="s">
        <x:v>160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161</x:v>
      </x:c>
      <x:c r="D27" s="452" t="n">
        <x:f>Landlord!D25</x:f>
        <x:v>10564200</x:v>
      </x:c>
      <x:c r="E27" s="453" t="s">
        <x:v>162</x:v>
      </x:c>
      <x:c r="F27" s="453" t="s">
        <x:v>163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9" customHeight="1">
      <x:c r="A28" s="4"/>
      <x:c r="B28" s="5"/>
      <x:c r="C28" s="454"/>
      <x:c r="D28" s="453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 ht="22.200000762939453" customHeight="1">
      <x:c r="A29" s="7"/>
      <x:c r="B29" s="8"/>
      <x:c r="C29" s="621" t="str">
        <x:v>Development Yield = stabilized annual NOI / Total Development Cost. Total Development Cost includes land, hard costs with contingency, and soft costs with development finance.</x:v>
      </x:c>
      <x:c r="D29" s="453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>
      <x:c r="C30" s="556"/>
      <x:c r="D30" s="579"/>
      <x:c r="E30" s="579"/>
      <x:c r="F30" s="579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RESEARCH NOTE NO. 2 | MODEL READER GUIDE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A professional underwriting model should make its assumptions easy to challenge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Read capacity status, company data and cash conversion separately; “PASS” confirms arithmetic, not commercial certainty.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Blue input values</x:v>
      </x:c>
      <x:c r="Q211" s="1041" t="str">
        <x:f>"ASSUMPTION"</x:f>
        <x:v>ASSUMPTION</x:v>
      </x:c>
      <x:c r="R211" s="599" t="str">
        <x:v>Inputs</x:v>
      </x:c>
      <x:c r="S211" s="599" t="str">
        <x:v>Edit the underlying Input cells, not the presentation exhibit.</x:v>
      </x:c>
    </x:row>
    <x:row r="212" ht="17.110000610351562" hidden="0" customHeight="1">
      <x:c r="P212" s="509" t="str">
        <x:v>Black calculation values</x:v>
      </x:c>
      <x:c r="Q212" s="1042" t="str">
        <x:f>"FORMULA"</x:f>
        <x:v>FORMULA</x:v>
      </x:c>
      <x:c r="R212" s="510" t="str">
        <x:v>Working tabs</x:v>
      </x:c>
      <x:c r="S212" s="510" t="str">
        <x:v>Calculated from source inputs and financing schedule.</x:v>
      </x:c>
    </x:row>
    <x:row r="213" ht="30.219999313354492" hidden="0" customHeight="1">
      <x:c r="P213" s="597" t="str">
        <x:v>Green linked exhibit values</x:v>
      </x:c>
      <x:c r="Q213" s="1041" t="str">
        <x:f>"LIVE-LINK"</x:f>
        <x:v>LIVE-LINK</x:v>
      </x:c>
      <x:c r="R213" s="599" t="str">
        <x:v>E01–E17</x:v>
      </x:c>
      <x:c r="S213" s="599" t="str">
        <x:v>Investor-view metrics are referenced from original model cells.</x:v>
      </x:c>
    </x:row>
    <x:row r="214" ht="30.219999313354492" hidden="0" customHeight="1">
      <x:c r="P214" s="509" t="str">
        <x:v>US$ millions</x:v>
      </x:c>
      <x:c r="Q214" s="1042" t="str">
        <x:f>"US$mm"</x:f>
        <x:v>US$mm</x:v>
      </x:c>
      <x:c r="R214" s="510" t="str">
        <x:v>All relevant tabs</x:v>
      </x:c>
      <x:c r="S214" s="510" t="str">
        <x:v>Amounts above $1m display in millions unless otherwise stated.</x:v>
      </x:c>
    </x:row>
    <x:row r="215" ht="17.110000610351562" hidden="0" customHeight="1">
      <x:c r="P215" s="597" t="str">
        <x:v>Critical IT capacity</x:v>
      </x:c>
      <x:c r="Q215" s="1041" t="str">
        <x:f>"10 MW"</x:f>
        <x:v>10 MW</x:v>
      </x:c>
      <x:c r="R215" s="599" t="str">
        <x:v>Inputs tab</x:v>
      </x:c>
      <x:c r="S215" s="599" t="str">
        <x:v>Not gross utility service demand and not GPU count.</x:v>
      </x:c>
    </x:row>
    <x:row r="216" ht="17.110000610351562" hidden="0" customHeight="1">
      <x:c r="P216" s="509" t="str">
        <x:v>Base financial case</x:v>
      </x:c>
      <x:c r="Q216" s="1042" t="str">
        <x:f>"HYPOTHETICAL"</x:f>
        <x:v>HYPOTHETICAL</x:v>
      </x:c>
      <x:c r="R216" s="510" t="str">
        <x:v>Model</x:v>
      </x:c>
      <x:c r="S216" s="510" t="str">
        <x:v>Not a GMI Cloud real estate project or company forecast.</x:v>
      </x:c>
    </x:row>
    <x:row r="217" ht="30.219999313354492" hidden="0" customHeight="1">
      <x:c r="P217" s="597" t="str">
        <x:v>CoreWeave / Nebius</x:v>
      </x:c>
      <x:c r="Q217" s="1041" t="str">
        <x:f>"PUBLIC ISSUER"</x:f>
        <x:v>PUBLIC ISSUER</x:v>
      </x:c>
      <x:c r="R217" s="599" t="str">
        <x:v>CoreWeave filing</x:v>
      </x:c>
      <x:c r="S217" s="599" t="str">
        <x:v>Historical issuer numbers do not establish tenant guarantees.</x:v>
      </x:c>
    </x:row>
    <x:row r="218" ht="30.219999313354492" hidden="0" customHeight="1">
      <x:c r="P218" s="509" t="str">
        <x:v>Power / rent / credit</x:v>
      </x:c>
      <x:c r="Q218" s="1042" t="str">
        <x:f>"OPEN DILIGENCE"</x:f>
        <x:v>OPEN DILIGENCE</x:v>
      </x:c>
      <x:c r="R218" s="510" t="str">
        <x:v>Research</x:v>
      </x:c>
      <x:c r="S218" s="510" t="str">
        <x:v>Utility contracts, leases, bids and tenant support are not collected.</x:v>
      </x:c>
    </x:row>
    <x:row r="219" ht="2" customHeight="1">
      <x:c r="P219" s="509"/>
      <x:c r="Q219" s="510"/>
      <x:c r="R219" s="510"/>
      <x:c r="S219" s="510"/>
    </x:row>
    <x:row r="220" ht="2" customHeight="1">
      <x:c r="P220" s="509"/>
      <x:c r="Q220" s="510"/>
      <x:c r="R220" s="510"/>
      <x:c r="S220" s="510"/>
    </x:row>
    <x:row r="221" ht="2" customHeight="1">
      <x:c r="P221" s="509"/>
      <x:c r="Q221" s="510"/>
      <x:c r="R221" s="510"/>
      <x:c r="S221" s="510"/>
    </x:row>
    <x:row r="222" ht="2" customHeight="1">
      <x:c r="P222" s="509"/>
      <x:c r="Q222" s="510"/>
      <x:c r="R222" s="510"/>
      <x:c r="S222" s="510"/>
    </x:row>
    <x:row r="223" ht="2" customHeight="1">
      <x:c r="P223" s="509"/>
      <x:c r="Q223" s="510"/>
      <x:c r="R223" s="510"/>
      <x:c r="S223" s="510"/>
    </x:row>
    <x:row r="224" ht="2" customHeight="1">
      <x:c r="P224" s="509"/>
      <x:c r="Q224" s="510"/>
      <x:c r="R224" s="510"/>
      <x:c r="S224" s="510"/>
    </x:row>
    <x:row r="225" ht="2" customHeight="1">
      <x:c r="P225" s="509"/>
      <x:c r="Q225" s="510"/>
      <x:c r="R225" s="510"/>
      <x:c r="S225" s="510"/>
    </x:row>
    <x:row r="226" ht="2" customHeight="1">
      <x:c r="P226" s="509"/>
      <x:c r="Q226" s="510"/>
      <x:c r="R226" s="510"/>
      <x:c r="S226" s="510"/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03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:D3"/>
    <x:mergeCell ref="C4:F4"/>
    <x:mergeCell ref="C5:F5"/>
    <x:mergeCell ref="C7:F7"/>
    <x:mergeCell ref="C18:F18"/>
    <x:mergeCell ref="C29:F29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4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65" customWidth="1"/>
    <x:col min="4" max="4" width="21.23046875" customWidth="1"/>
    <x:col min="5" max="5" width="18.765625" customWidth="1"/>
    <x:col min="6" max="6" width="31.230468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164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tr">
        <x:v>GII 10MW Underwriting | October 22, 2026 | Research Note No. 2 | Version 1.0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165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.29999923706055" customHeight="1">
      <x:c r="A6" s="4"/>
      <x:c r="B6" s="5"/>
      <x:c r="C6" s="621" t="s">
        <x:v>166</x:v>
      </x:c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9" customHeight="1">
      <x:c r="A7" s="4"/>
      <x:c r="B7" s="5"/>
      <x:c r="C7" s="454"/>
      <x:c r="D7" s="453"/>
      <x:c r="E7" s="453"/>
      <x:c r="F7" s="453"/>
      <x:c r="G7" s="579"/>
      <x:c r="H7" s="579"/>
      <x:c r="I7" s="579"/>
      <x:c r="J7" s="579"/>
      <x:c r="K7" s="579"/>
      <x:c r="L7" s="579"/>
      <x:c r="M7" s="579"/>
      <x:c r="N7" s="579"/>
    </x:row>
    <x:row r="8" ht="26.049999237060547" customHeight="1">
      <x:c r="A8" s="4"/>
      <x:c r="B8" s="5"/>
      <x:c r="C8" s="641" t="s">
        <x:v>167</x:v>
      </x:c>
      <x:c r="D8" s="642"/>
      <x:c r="E8" s="642"/>
      <x:c r="F8" s="642"/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454" t="s">
        <x:v>168</x:v>
      </x:c>
      <x:c r="D9" s="921" t="n">
        <x:f>Inputs!D7</x:f>
        <x:v>10</x:v>
      </x:c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644" t="str">
        <x:v>Total Development Cost</x:v>
      </x:c>
      <x:c r="D10" s="899" t="n">
        <x:f>Development!D31</x:f>
        <x:v>207728600</x:v>
      </x:c>
      <x:c r="E10" s="645"/>
      <x:c r="F10" s="645"/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169</x:v>
      </x:c>
      <x:c r="D11" s="901" t="n">
        <x:f>Development!D32</x:f>
        <x:v>90788600</x:v>
      </x:c>
      <x:c r="E11" s="453"/>
      <x:c r="F11" s="453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170</x:v>
      </x:c>
      <x:c r="D12" s="913" t="n">
        <x:f>Development!D27</x:f>
        <x:v>116940000</x:v>
      </x:c>
      <x:c r="E12" s="450"/>
      <x:c r="F12" s="450"/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171</x:v>
      </x:c>
      <x:c r="D13" s="901" t="n">
        <x:f>Landlord!D9</x:f>
        <x:v>27000000</x:v>
      </x:c>
      <x:c r="E13" s="453"/>
      <x:c r="F13" s="453"/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172</x:v>
      </x:c>
      <x:c r="D14" s="913" t="n">
        <x:f>Power!D18</x:f>
        <x:v>16101230.4</x:v>
      </x:c>
      <x:c r="E14" s="450"/>
      <x:c r="F14" s="450"/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644" t="s">
        <x:v>173</x:v>
      </x:c>
      <x:c r="D15" s="899" t="n">
        <x:f>Landlord!D21</x:f>
        <x:v>19750000</x:v>
      </x:c>
      <x:c r="E15" s="645"/>
      <x:c r="F15" s="645"/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644" t="s">
        <x:v>174</x:v>
      </x:c>
      <x:c r="D16" s="899" t="n">
        <x:f>Landlord!D25</x:f>
        <x:v>10564200</x:v>
      </x:c>
      <x:c r="E16" s="645"/>
      <x:c r="F16" s="645"/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644" t="str">
        <x:v>Development Yield — including finance</x:v>
      </x:c>
      <x:c r="D17" s="919" t="n">
        <x:f>Landlord!D29</x:f>
        <x:v>0.09507597894560499</x:v>
      </x:c>
      <x:c r="E17" s="645"/>
      <x:c r="F17" s="645"/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tr">
        <x:v>NOI / cost before development finance</x:v>
      </x:c>
      <x:c r="D18" s="472" t="n">
        <x:f>Landlord!D21/Development!D25</x:f>
        <x:v>0.10133401744484351</x:v>
      </x:c>
      <x:c r="E18" s="450"/>
      <x:c r="F18" s="450"/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175</x:v>
      </x:c>
      <x:c r="D19" s="923" t="n">
        <x:f>Landlord!D27</x:f>
        <x:v>2.4127147010677024</x:v>
      </x:c>
      <x:c r="E19" s="453"/>
      <x:c r="F19" s="453"/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644" t="s">
        <x:v>176</x:v>
      </x:c>
      <x:c r="D20" s="917" t="n">
        <x:f>Landlord!D28</x:f>
        <x:v>2.2905519313933884</x:v>
      </x:c>
      <x:c r="E20" s="645"/>
      <x:c r="F20" s="645"/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177</x:v>
      </x:c>
      <x:c r="D21" s="468" t="n">
        <x:f>Landlord!D30</x:f>
        <x:v>0.11636042410611024</x:v>
      </x:c>
      <x:c r="E21" s="453"/>
      <x:c r="F21" s="453"/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644" t="s">
        <x:v>178</x:v>
      </x:c>
      <x:c r="D22" s="919" t="n">
        <x:f>'Monthly CF'!D154</x:f>
        <x:v>0.12524132825920375</x:v>
      </x:c>
      <x:c r="E22" s="645"/>
      <x:c r="F22" s="645"/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644" t="s">
        <x:v>179</x:v>
      </x:c>
      <x:c r="D23" s="919" t="n">
        <x:f>'Monthly CF'!D155</x:f>
        <x:v>0.16809156810684023</x:v>
      </x:c>
      <x:c r="E23" s="645"/>
      <x:c r="F23" s="645"/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180</x:v>
      </x:c>
      <x:c r="D24" s="925" t="n">
        <x:f>'Monthly CF'!D156</x:f>
        <x:v>3.9275938676797235</x:v>
      </x:c>
      <x:c r="E24" s="450"/>
      <x:c r="F24" s="450"/>
      <x:c r="G24" s="579"/>
      <x:c r="H24" s="579"/>
      <x:c r="I24" s="579"/>
      <x:c r="J24" s="579"/>
      <x:c r="K24" s="579"/>
      <x:c r="L24" s="579"/>
      <x:c r="M24" s="579"/>
      <x:c r="N24" s="579"/>
    </x:row>
    <x:row r="25" ht="9" customHeight="1">
      <x:c r="A25" s="4"/>
      <x:c r="B25" s="5"/>
      <x:c r="C25" s="454"/>
      <x:c r="D25" s="453"/>
      <x:c r="E25" s="453"/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9" customHeight="1">
      <x:c r="A26" s="4"/>
      <x:c r="B26" s="5"/>
      <x:c r="C26" s="454"/>
      <x:c r="D26" s="453"/>
      <x:c r="E26" s="453"/>
      <x:c r="F26" s="453"/>
      <x:c r="G26" s="579"/>
      <x:c r="H26" s="579"/>
      <x:c r="I26" s="579"/>
      <x:c r="J26" s="579"/>
      <x:c r="K26" s="579"/>
      <x:c r="L26" s="579"/>
      <x:c r="M26" s="579"/>
      <x:c r="N26" s="579"/>
    </x:row>
    <x:row r="27" ht="26.049999237060547" customHeight="1">
      <x:c r="A27" s="4"/>
      <x:c r="B27" s="5"/>
      <x:c r="C27" s="641" t="s">
        <x:v>181</x:v>
      </x:c>
      <x:c r="D27" s="642"/>
      <x:c r="E27" s="642"/>
      <x:c r="F27" s="642"/>
      <x:c r="G27" s="579"/>
      <x:c r="H27" s="579"/>
      <x:c r="I27" s="579"/>
      <x:c r="J27" s="579"/>
      <x:c r="K27" s="579"/>
      <x:c r="L27" s="579"/>
      <x:c r="M27" s="579"/>
      <x:c r="N27" s="579"/>
    </x:row>
    <x:row r="28" ht="35.599998474121094" customHeight="1">
      <x:c r="A28" s="4"/>
      <x:c r="B28" s="5"/>
      <x:c r="C28" s="451" t="s">
        <x:v>33</x:v>
      </x:c>
      <x:c r="D28" s="450" t="s">
        <x:v>182</x:v>
      </x:c>
      <x:c r="E28" s="450"/>
      <x:c r="F28" s="450"/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183</x:v>
      </x:c>
      <x:c r="D29" s="453" t="s">
        <x:v>184</x:v>
      </x:c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">
        <x:v>53</x:v>
      </x:c>
      <x:c r="D30" s="450" t="s">
        <x:v>185</x:v>
      </x:c>
      <x:c r="E30" s="450"/>
      <x:c r="F30" s="450"/>
      <x:c r="G30" s="579"/>
      <x:c r="H30" s="579"/>
      <x:c r="I30" s="579"/>
      <x:c r="J30" s="579"/>
      <x:c r="K30" s="579"/>
      <x:c r="L30" s="579"/>
      <x:c r="M30" s="579"/>
      <x:c r="N30" s="579"/>
    </x:row>
    <x:row r="31" ht="22.75" customHeight="1">
      <x:c r="A31" s="4"/>
      <x:c r="B31" s="5"/>
      <x:c r="C31" s="454" t="s">
        <x:v>186</x:v>
      </x:c>
      <x:c r="D31" s="453" t="s">
        <x:v>187</x:v>
      </x:c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 ht="22.75" customHeight="1">
      <x:c r="A32" s="4"/>
      <x:c r="B32" s="5"/>
      <x:c r="C32" s="451" t="s">
        <x:v>58</x:v>
      </x:c>
      <x:c r="D32" s="450" t="s">
        <x:v>188</x:v>
      </x:c>
      <x:c r="E32" s="450"/>
      <x:c r="F32" s="450"/>
      <x:c r="G32" s="579"/>
      <x:c r="H32" s="579"/>
      <x:c r="I32" s="579"/>
      <x:c r="J32" s="579"/>
      <x:c r="K32" s="579"/>
      <x:c r="L32" s="579"/>
      <x:c r="M32" s="579"/>
      <x:c r="N32" s="579"/>
    </x:row>
    <x:row r="33" ht="35.599998474121094" customHeight="1">
      <x:c r="A33" s="4"/>
      <x:c r="B33" s="5"/>
      <x:c r="C33" s="454" t="s">
        <x:v>189</x:v>
      </x:c>
      <x:c r="D33" s="453" t="s">
        <x:v>190</x:v>
      </x:c>
      <x:c r="E33" s="453"/>
      <x:c r="F33" s="453"/>
      <x:c r="G33" s="579"/>
      <x:c r="H33" s="579"/>
      <x:c r="I33" s="579"/>
      <x:c r="J33" s="579"/>
      <x:c r="K33" s="579"/>
      <x:c r="L33" s="579"/>
      <x:c r="M33" s="579"/>
      <x:c r="N33" s="579"/>
    </x:row>
    <x:row r="34" ht="9" customHeight="1">
      <x:c r="A34" s="4"/>
      <x:c r="B34" s="5"/>
      <x:c r="C34" s="454"/>
      <x:c r="D34" s="453"/>
      <x:c r="E34" s="453"/>
      <x:c r="F34" s="453"/>
      <x:c r="G34" s="579"/>
      <x:c r="H34" s="579"/>
      <x:c r="I34" s="579"/>
      <x:c r="J34" s="579"/>
      <x:c r="K34" s="579"/>
      <x:c r="L34" s="579"/>
      <x:c r="M34" s="579"/>
      <x:c r="N34" s="579"/>
    </x:row>
    <x:row r="35" ht="9" customHeight="1">
      <x:c r="A35" s="4"/>
      <x:c r="B35" s="5"/>
      <x:c r="C35" s="454"/>
      <x:c r="D35" s="453"/>
      <x:c r="E35" s="453"/>
      <x:c r="F35" s="453"/>
      <x:c r="G35" s="579"/>
      <x:c r="H35" s="579"/>
      <x:c r="I35" s="579"/>
      <x:c r="J35" s="579"/>
      <x:c r="K35" s="579"/>
      <x:c r="L35" s="579"/>
      <x:c r="M35" s="579"/>
      <x:c r="N35" s="579"/>
    </x:row>
    <x:row r="36" ht="34.29999923706055" customHeight="1">
      <x:c r="A36" s="4"/>
      <x:c r="B36" s="5"/>
      <x:c r="C36" s="621" t="str">
        <x:v>DEFINITIONS | Total Development Cost = Land + Hard Costs (incl. contingency) + Soft Costs (incl. development finance). Development Yield = stabilized annual NOI / Total Development Cost.</x:v>
      </x:c>
      <x:c r="D36" s="453"/>
      <x:c r="E36" s="453"/>
      <x:c r="F36" s="453"/>
      <x:c r="G36" s="579"/>
      <x:c r="H36" s="579"/>
      <x:c r="I36" s="579"/>
      <x:c r="J36" s="579"/>
      <x:c r="K36" s="579"/>
      <x:c r="L36" s="579"/>
      <x:c r="M36" s="579"/>
      <x:c r="N36" s="579"/>
    </x:row>
    <x:row r="37" ht="9" customHeight="1">
      <x:c r="A37" s="4"/>
      <x:c r="B37" s="5"/>
      <x:c r="C37" s="454"/>
      <x:c r="D37" s="453"/>
      <x:c r="E37" s="453"/>
      <x:c r="F37" s="453"/>
      <x:c r="G37" s="579"/>
      <x:c r="H37" s="579"/>
      <x:c r="I37" s="579"/>
      <x:c r="J37" s="579"/>
      <x:c r="K37" s="579"/>
      <x:c r="L37" s="579"/>
      <x:c r="M37" s="579"/>
      <x:c r="N37" s="579"/>
    </x:row>
    <x:row r="38" ht="22.200000762939453" customHeight="1">
      <x:c r="A38" s="4"/>
      <x:c r="B38" s="5"/>
      <x:c r="C38" s="621" t="str">
        <x:f>IF(AND(Inputs!D12=24,Inputs!D28=10),"TIMELINE CHECK: 24 build months + 10 operating years.","STOP: restore the fixed timeline or extend the cash-flow schedules.")</x:f>
        <x:v>TIMELINE CHECK: 24 build months + 10 operating years.</x:v>
      </x:c>
      <x:c r="D38" s="453"/>
      <x:c r="E38" s="453"/>
      <x:c r="F38" s="453"/>
      <x:c r="G38" s="579"/>
      <x:c r="H38" s="579"/>
      <x:c r="I38" s="579"/>
      <x:c r="J38" s="579"/>
      <x:c r="K38" s="579"/>
      <x:c r="L38" s="579"/>
      <x:c r="M38" s="579"/>
      <x:c r="N38" s="579"/>
    </x:row>
    <x:row r="39" ht="34.29999923706055" customHeight="1">
      <x:c r="A39" s="4"/>
      <x:c r="B39" s="5"/>
      <x:c r="C39" s="621" t="s">
        <x:v>191</x:v>
      </x:c>
      <x:c r="D39" s="453"/>
      <x:c r="E39" s="453"/>
      <x:c r="F39" s="453"/>
      <x:c r="G39" s="579"/>
      <x:c r="H39" s="579"/>
      <x:c r="I39" s="579"/>
      <x:c r="J39" s="579"/>
      <x:c r="K39" s="579"/>
      <x:c r="L39" s="579"/>
      <x:c r="M39" s="579"/>
      <x:c r="N39" s="579"/>
    </x:row>
    <x:row r="40" ht="9" customHeight="1">
      <x:c r="A40" s="4"/>
      <x:c r="B40" s="5"/>
      <x:c r="C40" s="454"/>
      <x:c r="D40" s="453"/>
      <x:c r="E40" s="453"/>
      <x:c r="F40" s="453"/>
      <x:c r="G40" s="579"/>
      <x:c r="H40" s="579"/>
      <x:c r="I40" s="579"/>
      <x:c r="J40" s="579"/>
      <x:c r="K40" s="579"/>
      <x:c r="L40" s="579"/>
      <x:c r="M40" s="579"/>
      <x:c r="N40" s="579"/>
    </x:row>
    <x:row r="41" ht="34.29999923706055" customHeight="1">
      <x:c r="A41" s="4"/>
      <x:c r="B41" s="5"/>
      <x:c r="C41" s="621" t="s">
        <x:v>192</x:v>
      </x:c>
      <x:c r="D41" s="453"/>
      <x:c r="E41" s="453"/>
      <x:c r="F41" s="453"/>
      <x:c r="G41" s="579"/>
      <x:c r="H41" s="579"/>
      <x:c r="I41" s="579"/>
      <x:c r="J41" s="579"/>
      <x:c r="K41" s="579"/>
      <x:c r="L41" s="579"/>
      <x:c r="M41" s="579"/>
      <x:c r="N41" s="579"/>
    </x:row>
    <x:row r="42" ht="9" customHeight="1">
      <x:c r="A42" s="4"/>
      <x:c r="B42" s="5"/>
      <x:c r="C42" s="454"/>
      <x:c r="D42" s="453"/>
      <x:c r="E42" s="453"/>
      <x:c r="F42" s="453"/>
      <x:c r="G42" s="579"/>
      <x:c r="H42" s="579"/>
      <x:c r="I42" s="579"/>
      <x:c r="J42" s="579"/>
      <x:c r="K42" s="579"/>
      <x:c r="L42" s="579"/>
      <x:c r="M42" s="579"/>
      <x:c r="N42" s="579"/>
    </x:row>
    <x:row r="43" ht="9" customHeight="1">
      <x:c r="A43" s="4"/>
      <x:c r="B43" s="5"/>
      <x:c r="C43" s="454"/>
      <x:c r="D43" s="453"/>
      <x:c r="E43" s="453"/>
      <x:c r="F43" s="453"/>
      <x:c r="G43" s="579"/>
      <x:c r="H43" s="579"/>
      <x:c r="I43" s="579"/>
      <x:c r="J43" s="579"/>
      <x:c r="K43" s="579"/>
      <x:c r="L43" s="579"/>
      <x:c r="M43" s="579"/>
      <x:c r="N43" s="579"/>
    </x:row>
    <x:row r="44" ht="26.049999237060547" customHeight="1">
      <x:c r="A44" s="4"/>
      <x:c r="B44" s="5"/>
      <x:c r="C44" s="641" t="s">
        <x:v>193</x:v>
      </x:c>
      <x:c r="D44" s="642"/>
      <x:c r="E44" s="642"/>
      <x:c r="F44" s="642"/>
      <x:c r="G44" s="579"/>
      <x:c r="H44" s="579"/>
      <x:c r="I44" s="579"/>
      <x:c r="J44" s="579"/>
      <x:c r="K44" s="579"/>
      <x:c r="L44" s="579"/>
      <x:c r="M44" s="579"/>
      <x:c r="N44" s="579"/>
    </x:row>
    <x:row r="45" ht="35.599998474121094" customHeight="1">
      <x:c r="A45" s="4"/>
      <x:c r="B45" s="5"/>
      <x:c r="C45" s="641" t="s">
        <x:v>194</x:v>
      </x:c>
      <x:c r="D45" s="642"/>
      <x:c r="E45" s="642"/>
      <x:c r="F45" s="642"/>
      <x:c r="G45" s="579"/>
      <x:c r="H45" s="579"/>
      <x:c r="I45" s="579"/>
      <x:c r="J45" s="579"/>
      <x:c r="K45" s="579"/>
      <x:c r="L45" s="579"/>
      <x:c r="M45" s="579"/>
      <x:c r="N45" s="579"/>
    </x:row>
    <x:row r="46" ht="34.29999923706055" customHeight="1">
      <x:c r="A46" s="4"/>
      <x:c r="B46" s="5"/>
      <x:c r="C46" s="621" t="str">
        <x:v>STANDALONE PRINTS | Every tab states its purpose, units, evidence status and interpretation. Printed headers carry the stable model name and date. Detailed schedules remain editable; stored monetary amounts retain their stated units.</x:v>
      </x:c>
      <x:c r="D46" s="453"/>
      <x:c r="E46" s="453"/>
      <x:c r="F46" s="453"/>
      <x:c r="G46" s="579"/>
      <x:c r="H46" s="579"/>
      <x:c r="I46" s="579"/>
      <x:c r="J46" s="579"/>
      <x:c r="K46" s="579"/>
      <x:c r="L46" s="579"/>
      <x:c r="M46" s="579"/>
      <x:c r="N46" s="579"/>
    </x:row>
    <x:row r="47" ht="34.29999923706055" customHeight="1">
      <x:c r="A47" s="4"/>
      <x:c r="B47" s="5"/>
      <x:c r="C47" s="621" t="s">
        <x:v>195</x:v>
      </x:c>
      <x:c r="D47" s="453"/>
      <x:c r="E47" s="453"/>
      <x:c r="F47" s="453"/>
      <x:c r="G47" s="579"/>
      <x:c r="H47" s="579"/>
      <x:c r="I47" s="579"/>
      <x:c r="J47" s="579"/>
      <x:c r="K47" s="579"/>
      <x:c r="L47" s="579"/>
      <x:c r="M47" s="579"/>
      <x:c r="N47" s="579"/>
    </x:row>
    <x:row r="48" ht="42" customHeight="1">
      <x:c r="A48" s="4"/>
      <x:c r="B48" s="5"/>
      <x:c r="C48" s="621" t="str">
        <x:v>STABILIZATION | Year 1 is the stabilized proxy: full initial billability and no lease-up ramp. Development Yield is not cash-on-cash return, IRR or a market capitalization rate.</x:v>
      </x:c>
      <x:c r="D48" s="453"/>
      <x:c r="E48" s="453"/>
      <x:c r="F48" s="453"/>
      <x:c r="G48" s="579"/>
      <x:c r="H48" s="579"/>
      <x:c r="I48" s="579"/>
      <x:c r="J48" s="579"/>
      <x:c r="K48" s="579"/>
      <x:c r="L48" s="579"/>
      <x:c r="M48" s="579"/>
      <x:c r="N48" s="579"/>
    </x:row>
    <x:row r="49" ht="34.29999923706055" customHeight="1">
      <x:c r="A49" s="4"/>
      <x:c r="B49" s="5"/>
      <x:c r="C49" s="621" t="s">
        <x:v>196</x:v>
      </x:c>
      <x:c r="D49" s="453"/>
      <x:c r="E49" s="453"/>
      <x:c r="F49" s="453"/>
      <x:c r="G49" s="579"/>
      <x:c r="H49" s="579"/>
      <x:c r="I49" s="579"/>
      <x:c r="J49" s="579"/>
      <x:c r="K49" s="579"/>
      <x:c r="L49" s="579"/>
      <x:c r="M49" s="579"/>
      <x:c r="N49" s="579"/>
    </x:row>
    <x:row r="50" ht="22.200000762939453" customHeight="1">
      <x:c r="A50" s="7"/>
      <x:c r="B50" s="8"/>
      <x:c r="C50" s="621" t="s">
        <x:v>197</x:v>
      </x:c>
      <x:c r="D50" s="453"/>
      <x:c r="E50" s="453"/>
      <x:c r="F50" s="453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01  |  EXECUTIVE UNDERWRITING SNAPSHOT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How is the illustrative 10 MW project capitalized and valued?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The investment return starts with a deliverable property, enforceable rent and an explicit financing waterfall.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Critical IT capacity</x:v>
      </x:c>
      <x:c r="Q211" s="603" t="n">
        <x:f>D9</x:f>
        <x:v>10</x:v>
      </x:c>
      <x:c r="R211" s="599" t="str">
        <x:v>Start tab</x:v>
      </x:c>
      <x:c r="S211" s="599" t="str"/>
    </x:row>
    <x:row r="212" ht="17.110000610351562" hidden="0" customHeight="1">
      <x:c r="P212" s="589" t="str">
        <x:v>TOTAL DEVELOPMENT COST</x:v>
      </x:c>
      <x:c r="Q212" s="1045" t="n">
        <x:f>D10</x:f>
        <x:v>207728600</x:v>
      </x:c>
      <x:c r="R212" s="654" t="str">
        <x:v>Start tab</x:v>
      </x:c>
      <x:c r="S212" s="654" t="str"/>
    </x:row>
    <x:row r="213" ht="17.110000610351562" hidden="0" customHeight="1">
      <x:c r="P213" s="597" t="str">
        <x:v>Developer equity</x:v>
      </x:c>
      <x:c r="Q213" s="1037" t="n">
        <x:f>D11</x:f>
        <x:v>90788600</x:v>
      </x:c>
      <x:c r="R213" s="599" t="str">
        <x:v>Start tab</x:v>
      </x:c>
      <x:c r="S213" s="599" t="str"/>
    </x:row>
    <x:row r="214" ht="17.110000610351562" hidden="0" customHeight="1">
      <x:c r="P214" s="509" t="str">
        <x:v>Debt principal</x:v>
      </x:c>
      <x:c r="Q214" s="1036" t="n">
        <x:f>D12</x:f>
        <x:v>116940000</x:v>
      </x:c>
      <x:c r="R214" s="510" t="str">
        <x:v>Start tab</x:v>
      </x:c>
      <x:c r="S214" s="510" t="str"/>
    </x:row>
    <x:row r="215" ht="17.110000610351562" hidden="0" customHeight="1">
      <x:c r="P215" s="597" t="str">
        <x:v>Year-1 capacity rent</x:v>
      </x:c>
      <x:c r="Q215" s="1037" t="n">
        <x:f>D13</x:f>
        <x:v>27000000</x:v>
      </x:c>
      <x:c r="R215" s="599" t="str">
        <x:v>Start tab</x:v>
      </x:c>
      <x:c r="S215" s="599" t="str"/>
    </x:row>
    <x:row r="216" ht="17.110000610351562" hidden="0" customHeight="1">
      <x:c r="P216" s="509" t="str">
        <x:v>Year-1 electricity</x:v>
      </x:c>
      <x:c r="Q216" s="1036" t="n">
        <x:f>D14</x:f>
        <x:v>16101230.4</x:v>
      </x:c>
      <x:c r="R216" s="510" t="str">
        <x:v>Start tab</x:v>
      </x:c>
      <x:c r="S216" s="510" t="str"/>
    </x:row>
    <x:row r="217" ht="17.110000610351562" hidden="0" customHeight="1">
      <x:c r="P217" s="589" t="str">
        <x:v>Year-1 cash to equity</x:v>
      </x:c>
      <x:c r="Q217" s="1045" t="n">
        <x:f>D16</x:f>
        <x:v>10564200</x:v>
      </x:c>
      <x:c r="R217" s="654" t="str">
        <x:v>Start tab</x:v>
      </x:c>
      <x:c r="S217" s="654" t="str"/>
    </x:row>
    <x:row r="218" ht="17.110000610351562" hidden="0" customHeight="1">
      <x:c r="P218" s="589" t="str">
        <x:v>Development Yield — incl. finance</x:v>
      </x:c>
      <x:c r="Q218" s="661" t="n">
        <x:f>D17</x:f>
        <x:v>0.09507597894560499</x:v>
      </x:c>
      <x:c r="R218" s="654" t="str">
        <x:v>Start tab</x:v>
      </x:c>
      <x:c r="S218" s="654" t="str"/>
    </x:row>
    <x:row r="219" ht="17.110000610351562" hidden="0" customHeight="1">
      <x:c r="P219" s="597" t="str">
        <x:v>NOI debt coverage</x:v>
      </x:c>
      <x:c r="Q219" s="666" t="n">
        <x:f>D19</x:f>
        <x:v>2.4127147010677024</x:v>
      </x:c>
      <x:c r="R219" s="599" t="str">
        <x:v>Start tab</x:v>
      </x:c>
      <x:c r="S219" s="599" t="str"/>
    </x:row>
    <x:row r="220" ht="17.110000610351562" hidden="0" customHeight="1">
      <x:c r="P220" s="509" t="str">
        <x:v>After-reserve debt coverage</x:v>
      </x:c>
      <x:c r="Q220" s="668" t="n">
        <x:f>D20</x:f>
        <x:v>2.2905519313933884</x:v>
      </x:c>
      <x:c r="R220" s="510" t="str">
        <x:v>Start tab</x:v>
      </x:c>
      <x:c r="S220" s="510" t="str"/>
    </x:row>
    <x:row r="221" ht="17.110000610351562" hidden="0" customHeight="1">
      <x:c r="P221" s="597" t="str">
        <x:v>Year-1 cash-on-cash</x:v>
      </x:c>
      <x:c r="Q221" s="672" t="n">
        <x:f>D21</x:f>
        <x:v>0.11636042410611024</x:v>
      </x:c>
      <x:c r="R221" s="599" t="str">
        <x:v>Start tab</x:v>
      </x:c>
      <x:c r="S221" s="599" t="str"/>
    </x:row>
    <x:row r="222" ht="17.110000610351562" hidden="0" customHeight="1">
      <x:c r="P222" s="509" t="str">
        <x:v>Unlevered annualized IRR</x:v>
      </x:c>
      <x:c r="Q222" s="611" t="n">
        <x:f>D22</x:f>
        <x:v>0.12524132825920375</x:v>
      </x:c>
      <x:c r="R222" s="510" t="str">
        <x:v>Start tab</x:v>
      </x:c>
      <x:c r="S222" s="510" t="str"/>
    </x:row>
    <x:row r="223" ht="17.110000610351562" hidden="0" customHeight="1">
      <x:c r="P223" s="597" t="str">
        <x:v>Levered annualized IRR</x:v>
      </x:c>
      <x:c r="Q223" s="672" t="n">
        <x:f>D23</x:f>
        <x:v>0.16809156810684023</x:v>
      </x:c>
      <x:c r="R223" s="599" t="str">
        <x:v>Start tab</x:v>
      </x:c>
      <x:c r="S223" s="599" t="str"/>
    </x:row>
    <x:row r="224" ht="17.110000610351562" hidden="0" customHeight="1">
      <x:c r="P224" s="509" t="str">
        <x:v>Equity cash multiple</x:v>
      </x:c>
      <x:c r="Q224" s="668" t="n">
        <x:f>D24</x:f>
        <x:v>3.9275938676797235</x:v>
      </x:c>
      <x:c r="R224" s="510" t="str">
        <x:v>Start tab</x:v>
      </x:c>
      <x:c r="S224" s="510" t="str"/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04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D24:F24"/>
    <x:mergeCell ref="D9:F9"/>
    <x:mergeCell ref="D10:F10"/>
    <x:mergeCell ref="D11:F11"/>
    <x:mergeCell ref="D12:F12"/>
    <x:mergeCell ref="D13:F13"/>
    <x:mergeCell ref="D14:F14"/>
    <x:mergeCell ref="D15:F15"/>
    <x:mergeCell ref="D16:F16"/>
    <x:mergeCell ref="D17:F17"/>
    <x:mergeCell ref="D18:F18"/>
    <x:mergeCell ref="D19:F19"/>
    <x:mergeCell ref="D20:F20"/>
    <x:mergeCell ref="D21:F21"/>
    <x:mergeCell ref="D22:F22"/>
    <x:mergeCell ref="D23:F23"/>
    <x:mergeCell ref="C48:F48"/>
    <x:mergeCell ref="C49:F49"/>
    <x:mergeCell ref="C50:F50"/>
    <x:mergeCell ref="C41:F41"/>
    <x:mergeCell ref="C44:F44"/>
    <x:mergeCell ref="C45:F45"/>
    <x:mergeCell ref="C46:F46"/>
    <x:mergeCell ref="C47:F47"/>
    <x:mergeCell ref="D32:F32"/>
    <x:mergeCell ref="D33:F33"/>
    <x:mergeCell ref="C36:F36"/>
    <x:mergeCell ref="C38:F38"/>
    <x:mergeCell ref="C39:F39"/>
    <x:mergeCell ref="C27:F27"/>
    <x:mergeCell ref="D28:F28"/>
    <x:mergeCell ref="D29:F29"/>
    <x:mergeCell ref="D30:F30"/>
    <x:mergeCell ref="D31:F31"/>
    <x:mergeCell ref="C3:F3"/>
    <x:mergeCell ref="C4:F4"/>
    <x:mergeCell ref="C5:F5"/>
    <x:mergeCell ref="C6:F6"/>
    <x:mergeCell ref="C8:F8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5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200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201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202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205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168</x:v>
      </x:c>
      <x:c r="D12" s="978" t="n">
        <x:f>Start!D9</x:f>
        <x:v>10</x:v>
      </x:c>
      <x:c r="E12" s="450" t="str">
        <x:v>Start tab</x:v>
      </x:c>
      <x:c r="F12" s="450" t="s">
        <x:v>206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tr">
        <x:v>TOTAL DEVELOPMENT COST</x:v>
      </x:c>
      <x:c r="D13" s="901" t="n">
        <x:f>Start!D10</x:f>
        <x:v>207728600</x:v>
      </x:c>
      <x:c r="E13" s="453" t="str">
        <x:v>Start tab</x:v>
      </x:c>
      <x:c r="F13" s="453" t="s">
        <x:v>207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169</x:v>
      </x:c>
      <x:c r="D14" s="913" t="n">
        <x:f>Start!D11</x:f>
        <x:v>90788600</x:v>
      </x:c>
      <x:c r="E14" s="450" t="str">
        <x:v>Start tab</x:v>
      </x:c>
      <x:c r="F14" s="450" t="s">
        <x:v>208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209</x:v>
      </x:c>
      <x:c r="D15" s="901" t="n">
        <x:f>Start!D12</x:f>
        <x:v>116940000</x:v>
      </x:c>
      <x:c r="E15" s="453" t="str">
        <x:v>Start tab</x:v>
      </x:c>
      <x:c r="F15" s="453" t="s">
        <x:v>210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211</x:v>
      </x:c>
      <x:c r="D16" s="913" t="n">
        <x:f>Start!D13</x:f>
        <x:v>27000000</x:v>
      </x:c>
      <x:c r="E16" s="450" t="str">
        <x:v>Start tab</x:v>
      </x:c>
      <x:c r="F16" s="450" t="s">
        <x:v>212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213</x:v>
      </x:c>
      <x:c r="D17" s="901" t="n">
        <x:f>Start!D14</x:f>
        <x:v>16101230.4</x:v>
      </x:c>
      <x:c r="E17" s="453" t="str">
        <x:v>Start tab</x:v>
      </x:c>
      <x:c r="F17" s="453" t="s">
        <x:v>214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215</x:v>
      </x:c>
      <x:c r="D18" s="913" t="n">
        <x:f>Start!D15</x:f>
        <x:v>19750000</x:v>
      </x:c>
      <x:c r="E18" s="450" t="str">
        <x:v>Start tab</x:v>
      </x:c>
      <x:c r="F18" s="450" t="s">
        <x:v>216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217</x:v>
      </x:c>
      <x:c r="D19" s="901" t="n">
        <x:f>Start!D16</x:f>
        <x:v>10564200</x:v>
      </x:c>
      <x:c r="E19" s="453" t="str">
        <x:v>Start tab</x:v>
      </x:c>
      <x:c r="F19" s="453" t="s">
        <x:v>218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5" customHeight="1">
      <x:c r="A20" s="4"/>
      <x:c r="B20" s="5"/>
      <x:c r="C20" s="641" t="s">
        <x:v>219</x:v>
      </x:c>
      <x:c r="D20" s="977"/>
      <x:c r="E20" s="642"/>
      <x:c r="F20" s="642"/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tr">
        <x:v>Development Yield — incl. finance</x:v>
      </x:c>
      <x:c r="D21" s="468" t="n">
        <x:f>Start!D17</x:f>
        <x:v>0.09507597894560499</x:v>
      </x:c>
      <x:c r="E21" s="453" t="str">
        <x:v>Start tab</x:v>
      </x:c>
      <x:c r="F21" s="453" t="str">
        <x:v>Stabilized Year-1 NOI / full development cost.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176</x:v>
      </x:c>
      <x:c r="D22" s="925" t="n">
        <x:f>Start!D20</x:f>
        <x:v>2.2905519313933884</x:v>
      </x:c>
      <x:c r="E22" s="450" t="str">
        <x:v>Start tab</x:v>
      </x:c>
      <x:c r="F22" s="450" t="s">
        <x:v>220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221</x:v>
      </x:c>
      <x:c r="D23" s="468" t="n">
        <x:f>Start!D21</x:f>
        <x:v>0.11636042410611024</x:v>
      </x:c>
      <x:c r="E23" s="453" t="str">
        <x:v>Start tab</x:v>
      </x:c>
      <x:c r="F23" s="453" t="s">
        <x:v>222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178</x:v>
      </x:c>
      <x:c r="D24" s="472" t="n">
        <x:f>Start!D22</x:f>
        <x:v>0.12524132825920375</x:v>
      </x:c>
      <x:c r="E24" s="450" t="str">
        <x:v>Start tab</x:v>
      </x:c>
      <x:c r="F24" s="450" t="s">
        <x:v>223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179</x:v>
      </x:c>
      <x:c r="D25" s="468" t="n">
        <x:f>Start!D23</x:f>
        <x:v>0.16809156810684023</x:v>
      </x:c>
      <x:c r="E25" s="453" t="str">
        <x:v>Start tab</x:v>
      </x:c>
      <x:c r="F25" s="453" t="s">
        <x:v>224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5" customHeight="1">
      <x:c r="A26" s="4"/>
      <x:c r="B26" s="5"/>
      <x:c r="C26" s="641" t="s">
        <x:v>225</x:v>
      </x:c>
      <x:c r="D26" s="977"/>
      <x:c r="E26" s="642"/>
      <x:c r="F26" s="642"/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226</x:v>
      </x:c>
      <x:c r="D27" s="979" t="s">
        <x:v>227</x:v>
      </x:c>
      <x:c r="E27" s="453" t="str">
        <x:v>DILIGENCE</x:v>
      </x:c>
      <x:c r="F27" s="453" t="s">
        <x:v>228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229</x:v>
      </x:c>
      <x:c r="D28" s="980" t="s">
        <x:v>227</x:v>
      </x:c>
      <x:c r="E28" s="450" t="str">
        <x:v>DILIGENCE</x:v>
      </x:c>
      <x:c r="F28" s="450" t="s">
        <x:v>230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231</x:v>
      </x:c>
      <x:c r="D29" s="979" t="s">
        <x:v>227</x:v>
      </x:c>
      <x:c r="E29" s="453" t="str">
        <x:v>DILIGENCE</x:v>
      </x:c>
      <x:c r="F29" s="453" t="s">
        <x:v>232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9" customHeight="1">
      <x:c r="A30" s="4"/>
      <x:c r="B30" s="5"/>
      <x:c r="C30" s="454"/>
      <x:c r="D30" s="979"/>
      <x:c r="E30" s="453"/>
      <x:c r="F30" s="453"/>
      <x:c r="G30" s="579"/>
      <x:c r="H30" s="579"/>
      <x:c r="I30" s="579"/>
      <x:c r="J30" s="579"/>
      <x:c r="K30" s="579"/>
      <x:c r="L30" s="579"/>
      <x:c r="M30" s="579"/>
      <x:c r="N30" s="579"/>
    </x:row>
    <x:row r="31" ht="22.200000762939453" customHeight="1">
      <x:c r="A31" s="7"/>
      <x:c r="B31" s="8"/>
      <x:c r="C31" s="621" t="s">
        <x:v>233</x:v>
      </x:c>
      <x:c r="D31" s="979"/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01  |  EXECUTIVE UNDERWRITING SNAPSHOT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How is the illustrative 10 MW project capitalized and valued?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The investment return starts with a deliverable property, enforceable rent and an explicit financing waterfall.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THE 10 MW CASE | INVESTMENT AT A GLANCE</x:v>
      </x:c>
      <x:c r="Q211" s="1047"/>
      <x:c r="R211" s="685" t="str"/>
      <x:c r="S211" s="685" t="str"/>
    </x:row>
    <x:row r="212" ht="17.110000610351562" hidden="0" customHeight="1">
      <x:c r="P212" s="509" t="str">
        <x:v>Critical IT capacity</x:v>
      </x:c>
      <x:c r="Q212" s="1260" t="n">
        <x:f>E01_Overview!D12</x:f>
        <x:v>10</x:v>
      </x:c>
      <x:c r="R212" s="510" t="str">
        <x:v>Start tab</x:v>
      </x:c>
      <x:c r="S212" s="510" t="str">
        <x:v>Deliverable IT load; utility commitment must be verified.</x:v>
      </x:c>
    </x:row>
    <x:row r="213" ht="17.110000610351562" hidden="0" customHeight="1">
      <x:c r="P213" s="589" t="str">
        <x:v>TOTAL DEVELOPMENT COST</x:v>
      </x:c>
      <x:c r="Q213" s="1045" t="n">
        <x:f>E01_Overview!D13</x:f>
        <x:v>207728600</x:v>
      </x:c>
      <x:c r="R213" s="654" t="str">
        <x:v>Start tab</x:v>
      </x:c>
      <x:c r="S213" s="654" t="str">
        <x:v>Land, facility and construction finance; no GPUs.</x:v>
      </x:c>
    </x:row>
    <x:row r="214" ht="17.110000610351562" hidden="0" customHeight="1">
      <x:c r="P214" s="509" t="str">
        <x:v>Developer equity</x:v>
      </x:c>
      <x:c r="Q214" s="1036" t="n">
        <x:f>E01_Overview!D14</x:f>
        <x:v>90788600</x:v>
      </x:c>
      <x:c r="R214" s="510" t="str">
        <x:v>Start tab</x:v>
      </x:c>
      <x:c r="S214" s="510" t="str">
        <x:v>Required cash/equity under the modeled funding.</x:v>
      </x:c>
    </x:row>
    <x:row r="215" ht="17.110000610351562" hidden="0" customHeight="1">
      <x:c r="P215" s="597" t="str">
        <x:v>Construction/operating debt</x:v>
      </x:c>
      <x:c r="Q215" s="1037" t="n">
        <x:f>E01_Overview!D15</x:f>
        <x:v>116940000</x:v>
      </x:c>
      <x:c r="R215" s="599" t="str">
        <x:v>Start tab</x:v>
      </x:c>
      <x:c r="S215" s="599" t="str">
        <x:v>Interest-only operations assumption.</x:v>
      </x:c>
    </x:row>
    <x:row r="216" ht="17.110000610351562" hidden="0" customHeight="1">
      <x:c r="P216" s="509" t="str">
        <x:v>Year-one reserved-capacity rent</x:v>
      </x:c>
      <x:c r="Q216" s="1036" t="n">
        <x:f>E01_Overview!D16</x:f>
        <x:v>27000000</x:v>
      </x:c>
      <x:c r="R216" s="510" t="str">
        <x:v>Start tab</x:v>
      </x:c>
      <x:c r="S216" s="510" t="str">
        <x:v>Rental income before property operating costs.</x:v>
      </x:c>
    </x:row>
    <x:row r="217" ht="17.110000610351562" hidden="0" customHeight="1">
      <x:c r="P217" s="597" t="str">
        <x:v>Year-one electricity pass-through</x:v>
      </x:c>
      <x:c r="Q217" s="1037" t="n">
        <x:f>E01_Overview!D17</x:f>
        <x:v>16101230.4</x:v>
      </x:c>
      <x:c r="R217" s="599" t="str">
        <x:v>Start tab</x:v>
      </x:c>
      <x:c r="S217" s="599" t="str">
        <x:v>Reimbursed at cost; not landlord margin.</x:v>
      </x:c>
    </x:row>
    <x:row r="218" ht="17.110000610351562" hidden="0" customHeight="1">
      <x:c r="P218" s="509" t="str">
        <x:v>Year-one property NOI</x:v>
      </x:c>
      <x:c r="Q218" s="1036" t="n">
        <x:f>E01_Overview!D18</x:f>
        <x:v>19750000</x:v>
      </x:c>
      <x:c r="R218" s="510" t="str">
        <x:v>Start tab</x:v>
      </x:c>
      <x:c r="S218" s="510" t="str">
        <x:v>Rent less non-power property operating costs.</x:v>
      </x:c>
    </x:row>
    <x:row r="219" ht="17.110000610351562" hidden="0" customHeight="1">
      <x:c r="P219" s="589" t="str">
        <x:v>Year-one cash to equity</x:v>
      </x:c>
      <x:c r="Q219" s="1045" t="n">
        <x:f>E01_Overview!D19</x:f>
        <x:v>10564200</x:v>
      </x:c>
      <x:c r="R219" s="654" t="str">
        <x:v>Start tab</x:v>
      </x:c>
      <x:c r="S219" s="654" t="str">
        <x:v>After reserve and interest; before taxes.</x:v>
      </x:c>
    </x:row>
    <x:row r="220" ht="16" hidden="0" customHeight="1">
      <x:c r="P220" s="684" t="str">
        <x:v>INVESTMENT RESULTS | ILLUSTRATIVE, NOT A QUOTATION</x:v>
      </x:c>
      <x:c r="Q220" s="1047"/>
      <x:c r="R220" s="685" t="str"/>
      <x:c r="S220" s="685" t="str"/>
    </x:row>
    <x:row r="221" ht="17.110000610351562" hidden="0" customHeight="1">
      <x:c r="P221" s="589" t="str">
        <x:v>Development Yield (Year 1)</x:v>
      </x:c>
      <x:c r="Q221" s="661" t="n">
        <x:f>E01_Overview!D21</x:f>
        <x:v>0.09507597894560499</x:v>
      </x:c>
      <x:c r="R221" s="654" t="str">
        <x:v>Start tab</x:v>
      </x:c>
      <x:c r="S221" s="654" t="str">
        <x:v>Stabilized Year-1 NOI / full development cost.</x:v>
      </x:c>
    </x:row>
    <x:row r="222" ht="17.110000610351562" hidden="0" customHeight="1">
      <x:c r="P222" s="509" t="str">
        <x:v>After-reserve coverage</x:v>
      </x:c>
      <x:c r="Q222" s="668" t="n">
        <x:f>E01_Overview!D22</x:f>
        <x:v>2.2905519313933884</x:v>
      </x:c>
      <x:c r="R222" s="510" t="str">
        <x:v>Start tab</x:v>
      </x:c>
      <x:c r="S222" s="510" t="str">
        <x:v>Reserve-adjusted cash versus interest expense.</x:v>
      </x:c>
    </x:row>
    <x:row r="223" ht="17.110000610351562" hidden="0" customHeight="1">
      <x:c r="P223" s="597" t="str">
        <x:v>Year-one cash-on-cash</x:v>
      </x:c>
      <x:c r="Q223" s="672" t="n">
        <x:f>E01_Overview!D23</x:f>
        <x:v>0.11636042410611024</x:v>
      </x:c>
      <x:c r="R223" s="599" t="str">
        <x:v>Start tab</x:v>
      </x:c>
      <x:c r="S223" s="599" t="str">
        <x:v>Based on initial developer equity.</x:v>
      </x:c>
    </x:row>
    <x:row r="224" ht="17.110000610351562" hidden="0" customHeight="1">
      <x:c r="P224" s="509" t="str">
        <x:v>Unlevered annualized IRR</x:v>
      </x:c>
      <x:c r="Q224" s="611" t="n">
        <x:f>E01_Overview!D24</x:f>
        <x:v>0.12524132825920375</x:v>
      </x:c>
      <x:c r="R224" s="510" t="str">
        <x:v>Start tab</x:v>
      </x:c>
      <x:c r="S224" s="510" t="str">
        <x:v>Includes construction and modeled terminal sale.</x:v>
      </x:c>
    </x:row>
    <x:row r="225" ht="17.110000610351562" hidden="0" customHeight="1">
      <x:c r="P225" s="597" t="str">
        <x:v>Levered annualized IRR</x:v>
      </x:c>
      <x:c r="Q225" s="672" t="n">
        <x:f>E01_Overview!D25</x:f>
        <x:v>0.16809156810684023</x:v>
      </x:c>
      <x:c r="R225" s="599" t="str">
        <x:v>Start tab</x:v>
      </x:c>
      <x:c r="S225" s="599" t="str">
        <x:v>Especially sensitive to debt and exit assumptions.</x:v>
      </x:c>
    </x:row>
    <x:row r="226" ht="16" hidden="0" customHeight="1">
      <x:c r="P226" s="684" t="str">
        <x:v>WHAT MATTERS BEFORE APPROVING CAPITAL</x:v>
      </x:c>
      <x:c r="Q226" s="1047"/>
      <x:c r="R226" s="685" t="str"/>
      <x:c r="S226" s="685" t="str"/>
    </x:row>
    <x:row r="227" ht="17.110000610351562" hidden="0" customHeight="1">
      <x:c r="P227" s="597" t="str">
        <x:v>Land title, power and permitted IT MW</x:v>
      </x:c>
      <x:c r="Q227" s="1041" t="str">
        <x:v>REQUIRED</x:v>
      </x:c>
      <x:c r="R227" s="599" t="str">
        <x:v>DILIGENCE</x:v>
      </x:c>
      <x:c r="S227" s="599" t="str">
        <x:v>Independent verification required before investment.</x:v>
      </x:c>
    </x:row>
    <x:row r="228" ht="17.110000610351562" hidden="0" customHeight="1">
      <x:c r="P228" s="509" t="str">
        <x:v>Lease entity, guarantee and acceptance</x:v>
      </x:c>
      <x:c r="Q228" s="1042" t="str">
        <x:v>REQUIRED</x:v>
      </x:c>
      <x:c r="R228" s="510" t="str">
        <x:v>DILIGENCE</x:v>
      </x:c>
      <x:c r="S228" s="510" t="str">
        <x:v>Recognizable logos are not enforceable rent support.</x:v>
      </x:c>
    </x:row>
    <x:row r="229" ht="17.110000610351562" hidden="0" customHeight="1">
      <x:c r="P229" s="597" t="str">
        <x:v>Exit cap, re-leasing and technology fit</x:v>
      </x:c>
      <x:c r="Q229" s="1041" t="str">
        <x:v>REQUIRED</x:v>
      </x:c>
      <x:c r="R229" s="599" t="str">
        <x:v>DILIGENCE</x:v>
      </x:c>
      <x:c r="S229" s="599" t="str">
        <x:v>Terminal value is a scenario, not guaranteed liquidity.</x:v>
      </x:c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05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6:F26"/>
    <x:mergeCell ref="C31:F31"/>
    <x:mergeCell ref="C3:D3"/>
    <x:mergeCell ref="C4:F4"/>
    <x:mergeCell ref="C5:F5"/>
    <x:mergeCell ref="C7:F7"/>
    <x:mergeCell ref="C11:F11"/>
    <x:mergeCell ref="C20:F20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0:S220"/>
    <x:mergeCell ref="P226:S226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6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37.4609375" customWidth="1"/>
    <x:col min="4" max="4" width="19.3828125" customWidth="1"/>
    <x:col min="5" max="5" width="21.84375" customWidth="1"/>
    <x:col min="6" max="6" width="62.4609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234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235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4" customHeight="1">
      <x:c r="A5" s="4"/>
      <x:c r="B5" s="5"/>
      <x:c r="C5" s="622" t="s">
        <x:v>236</x:v>
      </x:c>
      <x:c r="D5" s="623" t="s">
        <x:v>237</x:v>
      </x:c>
      <x:c r="E5" s="623" t="s">
        <x:v>238</x:v>
      </x:c>
      <x:c r="F5" s="623" t="s">
        <x:v>239</x:v>
      </x:c>
      <x:c r="G5" s="556"/>
      <x:c r="H5" s="556"/>
      <x:c r="I5" s="556"/>
      <x:c r="J5" s="556"/>
      <x:c r="K5" s="556"/>
      <x:c r="L5" s="556"/>
      <x:c r="M5" s="556"/>
      <x:c r="N5" s="556"/>
    </x:row>
    <x:row r="6" ht="26.049999237060547" customHeight="1">
      <x:c r="A6" s="4"/>
      <x:c r="B6" s="5"/>
      <x:c r="C6" s="641" t="s">
        <x:v>240</x:v>
      </x:c>
      <x:c r="D6" s="642"/>
      <x:c r="E6" s="642"/>
      <x:c r="F6" s="642"/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168</x:v>
      </x:c>
      <x:c r="D7" s="867">
        <x:v>10</x:v>
      </x:c>
      <x:c r="E7" s="453" t="s">
        <x:v>241</x:v>
      </x:c>
      <x:c r="F7" s="453" t="s">
        <x:v>242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243</x:v>
      </x:c>
      <x:c r="D8" s="869">
        <x:v>1000</x:v>
      </x:c>
      <x:c r="E8" s="450" t="s">
        <x:v>244</x:v>
      </x:c>
      <x:c r="F8" s="450" t="s">
        <x:v>245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454" t="s">
        <x:v>246</x:v>
      </x:c>
      <x:c r="D9" s="867">
        <x:v>6</x:v>
      </x:c>
      <x:c r="E9" s="453" t="s">
        <x:v>247</x:v>
      </x:c>
      <x:c r="F9" s="453" t="s">
        <x:v>248</x:v>
      </x:c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451" t="s">
        <x:v>249</x:v>
      </x:c>
      <x:c r="D10" s="871">
        <x:v>8000000</x:v>
      </x:c>
      <x:c r="E10" s="450" t="s">
        <x:v>250</x:v>
      </x:c>
      <x:c r="F10" s="450" t="s">
        <x:v>251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252</x:v>
      </x:c>
      <x:c r="D11" s="869">
        <x:v>100000</x:v>
      </x:c>
      <x:c r="E11" s="453" t="s">
        <x:v>253</x:v>
      </x:c>
      <x:c r="F11" s="453" t="s">
        <x:v>254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35.599998474121094" customHeight="1">
      <x:c r="A12" s="4"/>
      <x:c r="B12" s="5"/>
      <x:c r="C12" s="451" t="s">
        <x:v>255</x:v>
      </x:c>
      <x:c r="D12" s="869">
        <x:v>24</x:v>
      </x:c>
      <x:c r="E12" s="450" t="s">
        <x:v>256</x:v>
      </x:c>
      <x:c r="F12" s="450" t="s">
        <x:v>257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258</x:v>
      </x:c>
      <x:c r="D13" s="869">
        <x:v>365</x:v>
      </x:c>
      <x:c r="E13" s="453" t="s">
        <x:v>259</x:v>
      </x:c>
      <x:c r="F13" s="453" t="s">
        <x:v>260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261</x:v>
      </x:c>
      <x:c r="D14" s="869">
        <x:v>24</x:v>
      </x:c>
      <x:c r="E14" s="450" t="s">
        <x:v>262</x:v>
      </x:c>
      <x:c r="F14" s="450" t="s">
        <x:v>263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264</x:v>
      </x:c>
      <x:c r="D15" s="873" t="n">
        <x:f>D13*D14</x:f>
        <x:v>8760</x:v>
      </x:c>
      <x:c r="E15" s="453" t="s">
        <x:v>262</x:v>
      </x:c>
      <x:c r="F15" s="453" t="s">
        <x:v>265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266</x:v>
      </x:c>
      <x:c r="D16" s="869">
        <x:v>12</x:v>
      </x:c>
      <x:c r="E16" s="450" t="s">
        <x:v>256</x:v>
      </x:c>
      <x:c r="F16" s="450" t="s">
        <x:v>263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9" customHeight="1">
      <x:c r="A17" s="4"/>
      <x:c r="B17" s="5"/>
      <x:c r="C17" s="454"/>
      <x:c r="D17" s="453"/>
      <x:c r="E17" s="453"/>
      <x:c r="F17" s="453"/>
      <x:c r="G17" s="579"/>
      <x:c r="H17" s="579"/>
      <x:c r="I17" s="579"/>
      <x:c r="J17" s="579"/>
      <x:c r="K17" s="579"/>
      <x:c r="L17" s="579"/>
      <x:c r="M17" s="579"/>
      <x:c r="N17" s="579"/>
    </x:row>
    <x:row r="18" ht="26.049999237060547" customHeight="1">
      <x:c r="A18" s="4"/>
      <x:c r="B18" s="5"/>
      <x:c r="C18" s="641" t="s">
        <x:v>267</x:v>
      </x:c>
      <x:c r="D18" s="642"/>
      <x:c r="E18" s="642"/>
      <x:c r="F18" s="642"/>
      <x:c r="G18" s="579"/>
      <x:c r="H18" s="579"/>
      <x:c r="I18" s="579"/>
      <x:c r="J18" s="579"/>
      <x:c r="K18" s="579"/>
      <x:c r="L18" s="579"/>
      <x:c r="M18" s="579"/>
      <x:c r="N18" s="579"/>
    </x:row>
    <x:row r="19" ht="35.599998474121094" customHeight="1">
      <x:c r="A19" s="4"/>
      <x:c r="B19" s="5"/>
      <x:c r="C19" s="454" t="s">
        <x:v>268</x:v>
      </x:c>
      <x:c r="D19" s="875">
        <x:v>225</x:v>
      </x:c>
      <x:c r="E19" s="453" t="s">
        <x:v>269</x:v>
      </x:c>
      <x:c r="F19" s="453" t="s">
        <x:v>270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35.599998474121094" customHeight="1">
      <x:c r="A20" s="4"/>
      <x:c r="B20" s="5"/>
      <x:c r="C20" s="451" t="s">
        <x:v>271</x:v>
      </x:c>
      <x:c r="D20" s="877">
        <x:v>1</x:v>
      </x:c>
      <x:c r="E20" s="450" t="s">
        <x:v>272</x:v>
      </x:c>
      <x:c r="F20" s="450" t="s">
        <x:v>273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274</x:v>
      </x:c>
      <x:c r="D21" s="877">
        <x:v>2.5000000000000001E-2</x:v>
      </x:c>
      <x:c r="E21" s="453" t="s">
        <x:v>275</x:v>
      </x:c>
      <x:c r="F21" s="453" t="s">
        <x:v>276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277</x:v>
      </x:c>
      <x:c r="D22" s="877">
        <x:v>0.03</x:v>
      </x:c>
      <x:c r="E22" s="450" t="s">
        <x:v>275</x:v>
      </x:c>
      <x:c r="F22" s="450" t="s">
        <x:v>278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279</x:v>
      </x:c>
      <x:c r="D23" s="877">
        <x:v>0.02</x:v>
      </x:c>
      <x:c r="E23" s="453" t="s">
        <x:v>275</x:v>
      </x:c>
      <x:c r="F23" s="453" t="s">
        <x:v>280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35.599998474121094" customHeight="1">
      <x:c r="A24" s="4"/>
      <x:c r="B24" s="5"/>
      <x:c r="C24" s="451" t="s">
        <x:v>281</x:v>
      </x:c>
      <x:c r="D24" s="877">
        <x:v>0.85</x:v>
      </x:c>
      <x:c r="E24" s="450" t="s">
        <x:v>272</x:v>
      </x:c>
      <x:c r="F24" s="450" t="s">
        <x:v>282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283</x:v>
      </x:c>
      <x:c r="D25" s="879">
        <x:v>1.36</x:v>
      </x:c>
      <x:c r="E25" s="453" t="s">
        <x:v>284</x:v>
      </x:c>
      <x:c r="F25" s="453" t="s">
        <x:v>285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35.599998474121094" customHeight="1">
      <x:c r="A26" s="4"/>
      <x:c r="B26" s="5"/>
      <x:c r="C26" s="451" t="s">
        <x:v>286</x:v>
      </x:c>
      <x:c r="D26" s="881">
        <x:v>0.159</x:v>
      </x:c>
      <x:c r="E26" s="450" t="s">
        <x:v>287</x:v>
      </x:c>
      <x:c r="F26" s="450" t="s">
        <x:v>288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289</x:v>
      </x:c>
      <x:c r="D27" s="869">
        <x:v>15</x:v>
      </x:c>
      <x:c r="E27" s="453" t="s">
        <x:v>290</x:v>
      </x:c>
      <x:c r="F27" s="453" t="s">
        <x:v>291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292</x:v>
      </x:c>
      <x:c r="D28" s="869">
        <x:v>10</x:v>
      </x:c>
      <x:c r="E28" s="450" t="s">
        <x:v>290</x:v>
      </x:c>
      <x:c r="F28" s="450" t="s">
        <x:v>293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294</x:v>
      </x:c>
      <x:c r="D29" s="877">
        <x:v>7.0000000000000007E-2</x:v>
      </x:c>
      <x:c r="E29" s="453" t="s">
        <x:v>272</x:v>
      </x:c>
      <x:c r="F29" s="453" t="s">
        <x:v>295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">
        <x:v>296</x:v>
      </x:c>
      <x:c r="D30" s="877">
        <x:v>0.02</x:v>
      </x:c>
      <x:c r="E30" s="450" t="s">
        <x:v>272</x:v>
      </x:c>
      <x:c r="F30" s="450" t="s">
        <x:v>297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35.599998474121094" customHeight="1">
      <x:c r="A31" s="4"/>
      <x:c r="B31" s="5"/>
      <x:c r="C31" s="454" t="s">
        <x:v>298</x:v>
      </x:c>
      <x:c r="D31" s="877">
        <x:v>0.6</x:v>
      </x:c>
      <x:c r="E31" s="453" t="s">
        <x:v>272</x:v>
      </x:c>
      <x:c r="F31" s="453" t="s">
        <x:v>299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22.75" customHeight="1">
      <x:c r="A32" s="4"/>
      <x:c r="B32" s="5"/>
      <x:c r="C32" s="451" t="s">
        <x:v>300</x:v>
      </x:c>
      <x:c r="D32" s="877">
        <x:v>0.08</x:v>
      </x:c>
      <x:c r="E32" s="450" t="s">
        <x:v>275</x:v>
      </x:c>
      <x:c r="F32" s="450" t="s">
        <x:v>301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35.599998474121094" customHeight="1">
      <x:c r="A33" s="4"/>
      <x:c r="B33" s="5"/>
      <x:c r="C33" s="454" t="s">
        <x:v>302</x:v>
      </x:c>
      <x:c r="D33" s="877">
        <x:v>7.0000000000000007E-2</x:v>
      </x:c>
      <x:c r="E33" s="453" t="s">
        <x:v>275</x:v>
      </x:c>
      <x:c r="F33" s="453" t="s">
        <x:v>303</x:v>
      </x:c>
      <x:c r="G33" s="579"/>
      <x:c r="H33" s="579"/>
      <x:c r="I33" s="579"/>
      <x:c r="J33" s="579"/>
      <x:c r="K33" s="579"/>
      <x:c r="L33" s="579"/>
      <x:c r="M33" s="579"/>
      <x:c r="N33" s="579"/>
    </x:row>
    <x:row r="34" ht="22.75" customHeight="1">
      <x:c r="A34" s="4"/>
      <x:c r="B34" s="5"/>
      <x:c r="C34" s="451" t="s">
        <x:v>304</x:v>
      </x:c>
      <x:c r="D34" s="877">
        <x:v>0.01</x:v>
      </x:c>
      <x:c r="E34" s="450" t="s">
        <x:v>305</x:v>
      </x:c>
      <x:c r="F34" s="450" t="s">
        <x:v>306</x:v>
      </x:c>
      <x:c r="G34" s="579"/>
      <x:c r="H34" s="579"/>
      <x:c r="I34" s="579"/>
      <x:c r="J34" s="579"/>
      <x:c r="K34" s="579"/>
      <x:c r="L34" s="579"/>
      <x:c r="M34" s="579"/>
      <x:c r="N34" s="579"/>
    </x:row>
    <x:row r="35" ht="35.599998474121094" customHeight="1">
      <x:c r="A35" s="4"/>
      <x:c r="B35" s="5"/>
      <x:c r="C35" s="454" t="s">
        <x:v>307</x:v>
      </x:c>
      <x:c r="D35" s="871">
        <x:v>1000000</x:v>
      </x:c>
      <x:c r="E35" s="453" t="s">
        <x:v>308</x:v>
      </x:c>
      <x:c r="F35" s="453" t="s">
        <x:v>309</x:v>
      </x:c>
      <x:c r="G35" s="579"/>
      <x:c r="H35" s="579"/>
      <x:c r="I35" s="579"/>
      <x:c r="J35" s="579"/>
      <x:c r="K35" s="579"/>
      <x:c r="L35" s="579"/>
      <x:c r="M35" s="579"/>
      <x:c r="N35" s="579"/>
    </x:row>
    <x:row r="36" ht="22.75" customHeight="1">
      <x:c r="A36" s="4"/>
      <x:c r="B36" s="5"/>
      <x:c r="C36" s="451" t="s">
        <x:v>310</x:v>
      </x:c>
      <x:c r="D36" s="871">
        <x:v>750000</x:v>
      </x:c>
      <x:c r="E36" s="450" t="s">
        <x:v>308</x:v>
      </x:c>
      <x:c r="F36" s="450" t="s">
        <x:v>311</x:v>
      </x:c>
      <x:c r="G36" s="579"/>
      <x:c r="H36" s="579"/>
      <x:c r="I36" s="579"/>
      <x:c r="J36" s="579"/>
      <x:c r="K36" s="579"/>
      <x:c r="L36" s="579"/>
      <x:c r="M36" s="579"/>
      <x:c r="N36" s="579"/>
    </x:row>
    <x:row r="37" ht="9" customHeight="1">
      <x:c r="A37" s="4"/>
      <x:c r="B37" s="5"/>
      <x:c r="C37" s="454"/>
      <x:c r="D37" s="453"/>
      <x:c r="E37" s="453"/>
      <x:c r="F37" s="453"/>
      <x:c r="G37" s="579"/>
      <x:c r="H37" s="579"/>
      <x:c r="I37" s="579"/>
      <x:c r="J37" s="579"/>
      <x:c r="K37" s="579"/>
      <x:c r="L37" s="579"/>
      <x:c r="M37" s="579"/>
      <x:c r="N37" s="579"/>
    </x:row>
    <x:row r="38" ht="26.049999237060547" customHeight="1">
      <x:c r="A38" s="4"/>
      <x:c r="B38" s="5"/>
      <x:c r="C38" s="641" t="s">
        <x:v>312</x:v>
      </x:c>
      <x:c r="D38" s="642"/>
      <x:c r="E38" s="642"/>
      <x:c r="F38" s="642"/>
      <x:c r="G38" s="579"/>
      <x:c r="H38" s="579"/>
      <x:c r="I38" s="579"/>
      <x:c r="J38" s="579"/>
      <x:c r="K38" s="579"/>
      <x:c r="L38" s="579"/>
      <x:c r="M38" s="579"/>
      <x:c r="N38" s="579"/>
    </x:row>
    <x:row r="39" ht="22.75" customHeight="1">
      <x:c r="A39" s="4"/>
      <x:c r="B39" s="5"/>
      <x:c r="C39" s="454" t="s">
        <x:v>313</x:v>
      </x:c>
      <x:c r="D39" s="871">
        <x:v>5000000</x:v>
      </x:c>
      <x:c r="E39" s="453" t="s">
        <x:v>314</x:v>
      </x:c>
      <x:c r="F39" s="453" t="s">
        <x:v>315</x:v>
      </x:c>
      <x:c r="G39" s="579"/>
      <x:c r="H39" s="579"/>
      <x:c r="I39" s="579"/>
      <x:c r="J39" s="579"/>
      <x:c r="K39" s="579"/>
      <x:c r="L39" s="579"/>
      <x:c r="M39" s="579"/>
      <x:c r="N39" s="579"/>
    </x:row>
    <x:row r="40" ht="22.75" customHeight="1">
      <x:c r="A40" s="4"/>
      <x:c r="B40" s="5"/>
      <x:c r="C40" s="451" t="s">
        <x:v>316</x:v>
      </x:c>
      <x:c r="D40" s="875">
        <x:v>230</x:v>
      </x:c>
      <x:c r="E40" s="450" t="s">
        <x:v>317</x:v>
      </x:c>
      <x:c r="F40" s="450" t="s">
        <x:v>318</x:v>
      </x:c>
      <x:c r="G40" s="579"/>
      <x:c r="H40" s="579"/>
      <x:c r="I40" s="579"/>
      <x:c r="J40" s="579"/>
      <x:c r="K40" s="579"/>
      <x:c r="L40" s="579"/>
      <x:c r="M40" s="579"/>
      <x:c r="N40" s="579"/>
    </x:row>
    <x:row r="41" ht="22.75" customHeight="1">
      <x:c r="A41" s="4"/>
      <x:c r="B41" s="5"/>
      <x:c r="C41" s="454" t="s">
        <x:v>319</x:v>
      </x:c>
      <x:c r="D41" s="871">
        <x:v>12000000</x:v>
      </x:c>
      <x:c r="E41" s="453" t="s">
        <x:v>314</x:v>
      </x:c>
      <x:c r="F41" s="453" t="s">
        <x:v>320</x:v>
      </x:c>
      <x:c r="G41" s="579"/>
      <x:c r="H41" s="579"/>
      <x:c r="I41" s="579"/>
      <x:c r="J41" s="579"/>
      <x:c r="K41" s="579"/>
      <x:c r="L41" s="579"/>
      <x:c r="M41" s="579"/>
      <x:c r="N41" s="579"/>
    </x:row>
    <x:row r="42" ht="22.75" customHeight="1">
      <x:c r="A42" s="4"/>
      <x:c r="B42" s="5"/>
      <x:c r="C42" s="451" t="s">
        <x:v>321</x:v>
      </x:c>
      <x:c r="D42" s="871">
        <x:v>35000000</x:v>
      </x:c>
      <x:c r="E42" s="450" t="s">
        <x:v>314</x:v>
      </x:c>
      <x:c r="F42" s="450" t="s">
        <x:v>322</x:v>
      </x:c>
      <x:c r="G42" s="579"/>
      <x:c r="H42" s="579"/>
      <x:c r="I42" s="579"/>
      <x:c r="J42" s="579"/>
      <x:c r="K42" s="579"/>
      <x:c r="L42" s="579"/>
      <x:c r="M42" s="579"/>
      <x:c r="N42" s="579"/>
    </x:row>
    <x:row r="43" ht="22.75" customHeight="1">
      <x:c r="A43" s="4"/>
      <x:c r="B43" s="5"/>
      <x:c r="C43" s="454" t="s">
        <x:v>323</x:v>
      </x:c>
      <x:c r="D43" s="871">
        <x:v>12000000</x:v>
      </x:c>
      <x:c r="E43" s="453" t="s">
        <x:v>314</x:v>
      </x:c>
      <x:c r="F43" s="453" t="s">
        <x:v>324</x:v>
      </x:c>
      <x:c r="G43" s="579"/>
      <x:c r="H43" s="579"/>
      <x:c r="I43" s="579"/>
      <x:c r="J43" s="579"/>
      <x:c r="K43" s="579"/>
      <x:c r="L43" s="579"/>
      <x:c r="M43" s="579"/>
      <x:c r="N43" s="579"/>
    </x:row>
    <x:row r="44" ht="35.599998474121094" customHeight="1">
      <x:c r="A44" s="4"/>
      <x:c r="B44" s="5"/>
      <x:c r="C44" s="451" t="s">
        <x:v>325</x:v>
      </x:c>
      <x:c r="D44" s="871">
        <x:v>23000000</x:v>
      </x:c>
      <x:c r="E44" s="450" t="s">
        <x:v>314</x:v>
      </x:c>
      <x:c r="F44" s="450" t="s">
        <x:v>326</x:v>
      </x:c>
      <x:c r="G44" s="579"/>
      <x:c r="H44" s="579"/>
      <x:c r="I44" s="579"/>
      <x:c r="J44" s="579"/>
      <x:c r="K44" s="579"/>
      <x:c r="L44" s="579"/>
      <x:c r="M44" s="579"/>
      <x:c r="N44" s="579"/>
    </x:row>
    <x:row r="45" ht="22.75" customHeight="1">
      <x:c r="A45" s="4"/>
      <x:c r="B45" s="5"/>
      <x:c r="C45" s="454" t="s">
        <x:v>327</x:v>
      </x:c>
      <x:c r="D45" s="871">
        <x:v>6000000</x:v>
      </x:c>
      <x:c r="E45" s="453" t="s">
        <x:v>314</x:v>
      </x:c>
      <x:c r="F45" s="453" t="s">
        <x:v>328</x:v>
      </x:c>
      <x:c r="G45" s="579"/>
      <x:c r="H45" s="579"/>
      <x:c r="I45" s="579"/>
      <x:c r="J45" s="579"/>
      <x:c r="K45" s="579"/>
      <x:c r="L45" s="579"/>
      <x:c r="M45" s="579"/>
      <x:c r="N45" s="579"/>
    </x:row>
    <x:row r="46" ht="22.75" customHeight="1">
      <x:c r="A46" s="4"/>
      <x:c r="B46" s="5"/>
      <x:c r="C46" s="451" t="s">
        <x:v>329</x:v>
      </x:c>
      <x:c r="D46" s="871">
        <x:v>3000000</x:v>
      </x:c>
      <x:c r="E46" s="450" t="s">
        <x:v>314</x:v>
      </x:c>
      <x:c r="F46" s="450" t="s">
        <x:v>330</x:v>
      </x:c>
      <x:c r="G46" s="579"/>
      <x:c r="H46" s="579"/>
      <x:c r="I46" s="579"/>
      <x:c r="J46" s="579"/>
      <x:c r="K46" s="579"/>
      <x:c r="L46" s="579"/>
      <x:c r="M46" s="579"/>
      <x:c r="N46" s="579"/>
    </x:row>
    <x:row r="47" ht="22.75" customHeight="1">
      <x:c r="A47" s="4"/>
      <x:c r="B47" s="5"/>
      <x:c r="C47" s="454" t="s">
        <x:v>331</x:v>
      </x:c>
      <x:c r="D47" s="871">
        <x:v>8000000</x:v>
      </x:c>
      <x:c r="E47" s="453" t="s">
        <x:v>314</x:v>
      </x:c>
      <x:c r="F47" s="453" t="s">
        <x:v>332</x:v>
      </x:c>
      <x:c r="G47" s="579"/>
      <x:c r="H47" s="579"/>
      <x:c r="I47" s="579"/>
      <x:c r="J47" s="579"/>
      <x:c r="K47" s="579"/>
      <x:c r="L47" s="579"/>
      <x:c r="M47" s="579"/>
      <x:c r="N47" s="579"/>
    </x:row>
    <x:row r="48" ht="22.75" customHeight="1">
      <x:c r="A48" s="4"/>
      <x:c r="B48" s="5"/>
      <x:c r="C48" s="451" t="s">
        <x:v>333</x:v>
      </x:c>
      <x:c r="D48" s="871">
        <x:v>3000000</x:v>
      </x:c>
      <x:c r="E48" s="450" t="s">
        <x:v>314</x:v>
      </x:c>
      <x:c r="F48" s="450" t="s">
        <x:v>334</x:v>
      </x:c>
      <x:c r="G48" s="579"/>
      <x:c r="H48" s="579"/>
      <x:c r="I48" s="579"/>
      <x:c r="J48" s="579"/>
      <x:c r="K48" s="579"/>
      <x:c r="L48" s="579"/>
      <x:c r="M48" s="579"/>
      <x:c r="N48" s="579"/>
    </x:row>
    <x:row r="49" ht="22.75" customHeight="1">
      <x:c r="A49" s="4"/>
      <x:c r="B49" s="5"/>
      <x:c r="C49" s="454" t="s">
        <x:v>335</x:v>
      </x:c>
      <x:c r="D49" s="871">
        <x:v>2000000</x:v>
      </x:c>
      <x:c r="E49" s="453" t="s">
        <x:v>314</x:v>
      </x:c>
      <x:c r="F49" s="453" t="s">
        <x:v>336</x:v>
      </x:c>
      <x:c r="G49" s="579"/>
      <x:c r="H49" s="579"/>
      <x:c r="I49" s="579"/>
      <x:c r="J49" s="579"/>
      <x:c r="K49" s="579"/>
      <x:c r="L49" s="579"/>
      <x:c r="M49" s="579"/>
      <x:c r="N49" s="579"/>
    </x:row>
    <x:row r="50" ht="22.75" customHeight="1">
      <x:c r="A50" s="4"/>
      <x:c r="B50" s="5"/>
      <x:c r="C50" s="451" t="s">
        <x:v>337</x:v>
      </x:c>
      <x:c r="D50" s="871">
        <x:v>3000000</x:v>
      </x:c>
      <x:c r="E50" s="450" t="s">
        <x:v>314</x:v>
      </x:c>
      <x:c r="F50" s="450" t="s">
        <x:v>338</x:v>
      </x:c>
      <x:c r="G50" s="579"/>
      <x:c r="H50" s="579"/>
      <x:c r="I50" s="579"/>
      <x:c r="J50" s="579"/>
      <x:c r="K50" s="579"/>
      <x:c r="L50" s="579"/>
      <x:c r="M50" s="579"/>
      <x:c r="N50" s="579"/>
    </x:row>
    <x:row r="51" ht="22.75" customHeight="1">
      <x:c r="A51" s="4"/>
      <x:c r="B51" s="5"/>
      <x:c r="C51" s="454" t="s">
        <x:v>339</x:v>
      </x:c>
      <x:c r="D51" s="877">
        <x:v>0.1</x:v>
      </x:c>
      <x:c r="E51" s="453" t="s">
        <x:v>272</x:v>
      </x:c>
      <x:c r="F51" s="453" t="s">
        <x:v>340</x:v>
      </x:c>
      <x:c r="G51" s="579"/>
      <x:c r="H51" s="579"/>
      <x:c r="I51" s="579"/>
      <x:c r="J51" s="579"/>
      <x:c r="K51" s="579"/>
      <x:c r="L51" s="579"/>
      <x:c r="M51" s="579"/>
      <x:c r="N51" s="579"/>
    </x:row>
    <x:row r="52" ht="9" customHeight="1">
      <x:c r="A52" s="4"/>
      <x:c r="B52" s="5"/>
      <x:c r="C52" s="454"/>
      <x:c r="D52" s="453"/>
      <x:c r="E52" s="453"/>
      <x:c r="F52" s="453"/>
      <x:c r="G52" s="579"/>
      <x:c r="H52" s="579"/>
      <x:c r="I52" s="579"/>
      <x:c r="J52" s="579"/>
      <x:c r="K52" s="579"/>
      <x:c r="L52" s="579"/>
      <x:c r="M52" s="579"/>
      <x:c r="N52" s="579"/>
    </x:row>
    <x:row r="53" ht="26.049999237060547" customHeight="1">
      <x:c r="A53" s="4"/>
      <x:c r="B53" s="5"/>
      <x:c r="C53" s="641" t="s">
        <x:v>341</x:v>
      </x:c>
      <x:c r="D53" s="642"/>
      <x:c r="E53" s="642"/>
      <x:c r="F53" s="642"/>
      <x:c r="G53" s="579"/>
      <x:c r="H53" s="579"/>
      <x:c r="I53" s="579"/>
      <x:c r="J53" s="579"/>
      <x:c r="K53" s="579"/>
      <x:c r="L53" s="579"/>
      <x:c r="M53" s="579"/>
      <x:c r="N53" s="579"/>
    </x:row>
    <x:row r="54" ht="22.75" customHeight="1">
      <x:c r="A54" s="4"/>
      <x:c r="B54" s="5"/>
      <x:c r="C54" s="451" t="s">
        <x:v>342</x:v>
      </x:c>
      <x:c r="D54" s="871">
        <x:v>2400000</x:v>
      </x:c>
      <x:c r="E54" s="450" t="s">
        <x:v>308</x:v>
      </x:c>
      <x:c r="F54" s="450" t="s">
        <x:v>343</x:v>
      </x:c>
      <x:c r="G54" s="579"/>
      <x:c r="H54" s="579"/>
      <x:c r="I54" s="579"/>
      <x:c r="J54" s="579"/>
      <x:c r="K54" s="579"/>
      <x:c r="L54" s="579"/>
      <x:c r="M54" s="579"/>
      <x:c r="N54" s="579"/>
    </x:row>
    <x:row r="55" ht="22.75" customHeight="1">
      <x:c r="A55" s="4"/>
      <x:c r="B55" s="5"/>
      <x:c r="C55" s="454" t="s">
        <x:v>344</x:v>
      </x:c>
      <x:c r="D55" s="871">
        <x:v>600000</x:v>
      </x:c>
      <x:c r="E55" s="453" t="s">
        <x:v>308</x:v>
      </x:c>
      <x:c r="F55" s="453" t="s">
        <x:v>345</x:v>
      </x:c>
      <x:c r="G55" s="579"/>
      <x:c r="H55" s="579"/>
      <x:c r="I55" s="579"/>
      <x:c r="J55" s="579"/>
      <x:c r="K55" s="579"/>
      <x:c r="L55" s="579"/>
      <x:c r="M55" s="579"/>
      <x:c r="N55" s="579"/>
    </x:row>
    <x:row r="56" ht="35.599998474121094" customHeight="1">
      <x:c r="A56" s="4"/>
      <x:c r="B56" s="5"/>
      <x:c r="C56" s="451" t="s">
        <x:v>346</x:v>
      </x:c>
      <x:c r="D56" s="871">
        <x:v>1800000</x:v>
      </x:c>
      <x:c r="E56" s="450" t="s">
        <x:v>308</x:v>
      </x:c>
      <x:c r="F56" s="450" t="s">
        <x:v>347</x:v>
      </x:c>
      <x:c r="G56" s="579"/>
      <x:c r="H56" s="579"/>
      <x:c r="I56" s="579"/>
      <x:c r="J56" s="579"/>
      <x:c r="K56" s="579"/>
      <x:c r="L56" s="579"/>
      <x:c r="M56" s="579"/>
      <x:c r="N56" s="579"/>
    </x:row>
    <x:row r="57" ht="22.75" customHeight="1">
      <x:c r="A57" s="4"/>
      <x:c r="B57" s="5"/>
      <x:c r="C57" s="454" t="s">
        <x:v>348</x:v>
      </x:c>
      <x:c r="D57" s="871">
        <x:v>1200000</x:v>
      </x:c>
      <x:c r="E57" s="453" t="s">
        <x:v>308</x:v>
      </x:c>
      <x:c r="F57" s="453" t="s">
        <x:v>349</x:v>
      </x:c>
      <x:c r="G57" s="579"/>
      <x:c r="H57" s="579"/>
      <x:c r="I57" s="579"/>
      <x:c r="J57" s="579"/>
      <x:c r="K57" s="579"/>
      <x:c r="L57" s="579"/>
      <x:c r="M57" s="579"/>
      <x:c r="N57" s="579"/>
    </x:row>
    <x:row r="58" ht="22.75" customHeight="1">
      <x:c r="A58" s="4"/>
      <x:c r="B58" s="5"/>
      <x:c r="C58" s="451" t="s">
        <x:v>350</x:v>
      </x:c>
      <x:c r="D58" s="871">
        <x:v>500000</x:v>
      </x:c>
      <x:c r="E58" s="450" t="s">
        <x:v>308</x:v>
      </x:c>
      <x:c r="F58" s="450" t="s">
        <x:v>351</x:v>
      </x:c>
      <x:c r="G58" s="579"/>
      <x:c r="H58" s="579"/>
      <x:c r="I58" s="579"/>
      <x:c r="J58" s="579"/>
      <x:c r="K58" s="579"/>
      <x:c r="L58" s="579"/>
      <x:c r="M58" s="579"/>
      <x:c r="N58" s="579"/>
    </x:row>
    <x:row r="59" ht="9" customHeight="1">
      <x:c r="A59" s="4"/>
      <x:c r="B59" s="5"/>
      <x:c r="C59" s="454"/>
      <x:c r="D59" s="453"/>
      <x:c r="E59" s="453"/>
      <x:c r="F59" s="453"/>
      <x:c r="G59" s="579"/>
      <x:c r="H59" s="579"/>
      <x:c r="I59" s="579"/>
      <x:c r="J59" s="579"/>
      <x:c r="K59" s="579"/>
      <x:c r="L59" s="579"/>
      <x:c r="M59" s="579"/>
      <x:c r="N59" s="579"/>
    </x:row>
    <x:row r="60" ht="26.049999237060547" customHeight="1">
      <x:c r="A60" s="4"/>
      <x:c r="B60" s="5"/>
      <x:c r="C60" s="641" t="s">
        <x:v>352</x:v>
      </x:c>
      <x:c r="D60" s="642"/>
      <x:c r="E60" s="642"/>
      <x:c r="F60" s="642"/>
      <x:c r="G60" s="579"/>
      <x:c r="H60" s="579"/>
      <x:c r="I60" s="579"/>
      <x:c r="J60" s="579"/>
      <x:c r="K60" s="579"/>
      <x:c r="L60" s="579"/>
      <x:c r="M60" s="579"/>
      <x:c r="N60" s="579"/>
    </x:row>
    <x:row r="61" ht="22.75" customHeight="1">
      <x:c r="A61" s="4"/>
      <x:c r="B61" s="5"/>
      <x:c r="C61" s="454" t="s">
        <x:v>353</x:v>
      </x:c>
      <x:c r="D61" s="869">
        <x:v>4000</x:v>
      </x:c>
      <x:c r="E61" s="453" t="s">
        <x:v>354</x:v>
      </x:c>
      <x:c r="F61" s="453" t="s">
        <x:v>355</x:v>
      </x:c>
      <x:c r="G61" s="579"/>
      <x:c r="H61" s="579"/>
      <x:c r="I61" s="579"/>
      <x:c r="J61" s="579"/>
      <x:c r="K61" s="579"/>
      <x:c r="L61" s="579"/>
      <x:c r="M61" s="579"/>
      <x:c r="N61" s="579"/>
    </x:row>
    <x:row r="62" ht="22.75" customHeight="1">
      <x:c r="A62" s="4"/>
      <x:c r="B62" s="5"/>
      <x:c r="C62" s="451" t="s">
        <x:v>356</x:v>
      </x:c>
      <x:c r="D62" s="875">
        <x:v>50000</x:v>
      </x:c>
      <x:c r="E62" s="450" t="s">
        <x:v>357</x:v>
      </x:c>
      <x:c r="F62" s="450" t="s">
        <x:v>358</x:v>
      </x:c>
      <x:c r="G62" s="579"/>
      <x:c r="H62" s="579"/>
      <x:c r="I62" s="579"/>
      <x:c r="J62" s="579"/>
      <x:c r="K62" s="579"/>
      <x:c r="L62" s="579"/>
      <x:c r="M62" s="579"/>
      <x:c r="N62" s="579"/>
    </x:row>
    <x:row r="63" ht="22.75" customHeight="1">
      <x:c r="A63" s="4"/>
      <x:c r="B63" s="5"/>
      <x:c r="C63" s="454" t="s">
        <x:v>359</x:v>
      </x:c>
      <x:c r="D63" s="871">
        <x:v>25000000</x:v>
      </x:c>
      <x:c r="E63" s="453" t="s">
        <x:v>314</x:v>
      </x:c>
      <x:c r="F63" s="453" t="s">
        <x:v>360</x:v>
      </x:c>
      <x:c r="G63" s="579"/>
      <x:c r="H63" s="579"/>
      <x:c r="I63" s="579"/>
      <x:c r="J63" s="579"/>
      <x:c r="K63" s="579"/>
      <x:c r="L63" s="579"/>
      <x:c r="M63" s="579"/>
      <x:c r="N63" s="579"/>
    </x:row>
    <x:row r="64" ht="22.75" customHeight="1">
      <x:c r="A64" s="4"/>
      <x:c r="B64" s="5"/>
      <x:c r="C64" s="451" t="s">
        <x:v>361</x:v>
      </x:c>
      <x:c r="D64" s="871">
        <x:v>10000000</x:v>
      </x:c>
      <x:c r="E64" s="450" t="s">
        <x:v>314</x:v>
      </x:c>
      <x:c r="F64" s="450" t="s">
        <x:v>362</x:v>
      </x:c>
      <x:c r="G64" s="579"/>
      <x:c r="H64" s="579"/>
      <x:c r="I64" s="579"/>
      <x:c r="J64" s="579"/>
      <x:c r="K64" s="579"/>
      <x:c r="L64" s="579"/>
      <x:c r="M64" s="579"/>
      <x:c r="N64" s="579"/>
    </x:row>
    <x:row r="65" ht="22.75" customHeight="1">
      <x:c r="A65" s="4"/>
      <x:c r="B65" s="5"/>
      <x:c r="C65" s="454" t="s">
        <x:v>363</x:v>
      </x:c>
      <x:c r="D65" s="875">
        <x:v>4</x:v>
      </x:c>
      <x:c r="E65" s="453" t="s">
        <x:v>364</x:v>
      </x:c>
      <x:c r="F65" s="453" t="s">
        <x:v>365</x:v>
      </x:c>
      <x:c r="G65" s="579"/>
      <x:c r="H65" s="579"/>
      <x:c r="I65" s="579"/>
      <x:c r="J65" s="579"/>
      <x:c r="K65" s="579"/>
      <x:c r="L65" s="579"/>
      <x:c r="M65" s="579"/>
      <x:c r="N65" s="579"/>
    </x:row>
    <x:row r="66" ht="22.75" customHeight="1">
      <x:c r="A66" s="4"/>
      <x:c r="B66" s="5"/>
      <x:c r="C66" s="451" t="s">
        <x:v>366</x:v>
      </x:c>
      <x:c r="D66" s="877">
        <x:v>0.75</x:v>
      </x:c>
      <x:c r="E66" s="450" t="s">
        <x:v>272</x:v>
      </x:c>
      <x:c r="F66" s="450" t="s">
        <x:v>367</x:v>
      </x:c>
      <x:c r="G66" s="579"/>
      <x:c r="H66" s="579"/>
      <x:c r="I66" s="579"/>
      <x:c r="J66" s="579"/>
      <x:c r="K66" s="579"/>
      <x:c r="L66" s="579"/>
      <x:c r="M66" s="579"/>
      <x:c r="N66" s="579"/>
    </x:row>
    <x:row r="67" ht="22.75" customHeight="1">
      <x:c r="A67" s="4"/>
      <x:c r="B67" s="5"/>
      <x:c r="C67" s="454" t="s">
        <x:v>368</x:v>
      </x:c>
      <x:c r="D67" s="869">
        <x:v>5</x:v>
      </x:c>
      <x:c r="E67" s="453" t="s">
        <x:v>290</x:v>
      </x:c>
      <x:c r="F67" s="453" t="s">
        <x:v>369</x:v>
      </x:c>
      <x:c r="G67" s="579"/>
      <x:c r="H67" s="579"/>
      <x:c r="I67" s="579"/>
      <x:c r="J67" s="579"/>
      <x:c r="K67" s="579"/>
      <x:c r="L67" s="579"/>
      <x:c r="M67" s="579"/>
      <x:c r="N67" s="579"/>
    </x:row>
    <x:row r="68" ht="22.75" customHeight="1">
      <x:c r="A68" s="4"/>
      <x:c r="B68" s="5"/>
      <x:c r="C68" s="451" t="s">
        <x:v>370</x:v>
      </x:c>
      <x:c r="D68" s="871">
        <x:v>10000000</x:v>
      </x:c>
      <x:c r="E68" s="450" t="s">
        <x:v>308</x:v>
      </x:c>
      <x:c r="F68" s="450" t="s">
        <x:v>371</x:v>
      </x:c>
      <x:c r="G68" s="579"/>
      <x:c r="H68" s="579"/>
      <x:c r="I68" s="579"/>
      <x:c r="J68" s="579"/>
      <x:c r="K68" s="579"/>
      <x:c r="L68" s="579"/>
      <x:c r="M68" s="579"/>
      <x:c r="N68" s="579"/>
    </x:row>
    <x:row r="69" ht="22.75" customHeight="1">
      <x:c r="A69" s="4"/>
      <x:c r="B69" s="5"/>
      <x:c r="C69" s="454" t="s">
        <x:v>372</x:v>
      </x:c>
      <x:c r="D69" s="871">
        <x:v>3000000</x:v>
      </x:c>
      <x:c r="E69" s="453" t="s">
        <x:v>308</x:v>
      </x:c>
      <x:c r="F69" s="453" t="s">
        <x:v>373</x:v>
      </x:c>
      <x:c r="G69" s="579"/>
      <x:c r="H69" s="579"/>
      <x:c r="I69" s="579"/>
      <x:c r="J69" s="579"/>
      <x:c r="K69" s="579"/>
      <x:c r="L69" s="579"/>
      <x:c r="M69" s="579"/>
      <x:c r="N69" s="579"/>
    </x:row>
    <x:row r="70" ht="9" customHeight="1">
      <x:c r="A70" s="4"/>
      <x:c r="B70" s="5"/>
      <x:c r="C70" s="454"/>
      <x:c r="D70" s="453"/>
      <x:c r="E70" s="453"/>
      <x:c r="F70" s="453"/>
      <x:c r="G70" s="579"/>
      <x:c r="H70" s="579"/>
      <x:c r="I70" s="579"/>
      <x:c r="J70" s="579"/>
      <x:c r="K70" s="579"/>
      <x:c r="L70" s="579"/>
      <x:c r="M70" s="579"/>
      <x:c r="N70" s="579"/>
    </x:row>
    <x:row r="71" ht="22.200000762939453" customHeight="1">
      <x:c r="A71" s="4"/>
      <x:c r="B71" s="5"/>
      <x:c r="C71" s="621" t="s">
        <x:v>374</x:v>
      </x:c>
      <x:c r="D71" s="453"/>
      <x:c r="E71" s="453"/>
      <x:c r="F71" s="453"/>
      <x:c r="G71" s="579"/>
      <x:c r="H71" s="579"/>
      <x:c r="I71" s="579"/>
      <x:c r="J71" s="579"/>
      <x:c r="K71" s="579"/>
      <x:c r="L71" s="579"/>
      <x:c r="M71" s="579"/>
      <x:c r="N71" s="579"/>
    </x:row>
    <x:row r="72" ht="9" customHeight="1">
      <x:c r="A72" s="4"/>
      <x:c r="B72" s="5"/>
      <x:c r="C72" s="454"/>
      <x:c r="D72" s="453"/>
      <x:c r="E72" s="453"/>
      <x:c r="F72" s="453"/>
      <x:c r="G72" s="579"/>
      <x:c r="H72" s="579"/>
      <x:c r="I72" s="579"/>
      <x:c r="J72" s="579"/>
      <x:c r="K72" s="579"/>
      <x:c r="L72" s="579"/>
      <x:c r="M72" s="579"/>
      <x:c r="N72" s="579"/>
    </x:row>
    <x:row r="73" ht="22.75" customHeight="1">
      <x:c r="A73" s="4"/>
      <x:c r="B73" s="5"/>
      <x:c r="C73" s="454" t="s">
        <x:v>375</x:v>
      </x:c>
      <x:c r="D73" s="881">
        <x:v>0.01</x:v>
      </x:c>
      <x:c r="E73" s="453" t="s">
        <x:v>287</x:v>
      </x:c>
      <x:c r="F73" s="453" t="s">
        <x:v>376</x:v>
      </x:c>
      <x:c r="G73" s="579"/>
      <x:c r="H73" s="579"/>
      <x:c r="I73" s="579"/>
      <x:c r="J73" s="579"/>
      <x:c r="K73" s="579"/>
      <x:c r="L73" s="579"/>
      <x:c r="M73" s="579"/>
      <x:c r="N73" s="579"/>
    </x:row>
    <x:row r="74" ht="9" customHeight="1">
      <x:c r="A74" s="4"/>
      <x:c r="B74" s="5"/>
      <x:c r="C74" s="454"/>
      <x:c r="D74" s="453"/>
      <x:c r="E74" s="453"/>
      <x:c r="F74" s="453"/>
      <x:c r="G74" s="579"/>
      <x:c r="H74" s="579"/>
      <x:c r="I74" s="579"/>
      <x:c r="J74" s="579"/>
      <x:c r="K74" s="579"/>
      <x:c r="L74" s="579"/>
      <x:c r="M74" s="579"/>
      <x:c r="N74" s="579"/>
    </x:row>
    <x:row r="75" ht="9" customHeight="1">
      <x:c r="A75" s="4"/>
      <x:c r="B75" s="5"/>
      <x:c r="C75" s="454"/>
      <x:c r="D75" s="453"/>
      <x:c r="E75" s="453"/>
      <x:c r="F75" s="453"/>
      <x:c r="G75" s="579"/>
      <x:c r="H75" s="579"/>
      <x:c r="I75" s="579"/>
      <x:c r="J75" s="579"/>
      <x:c r="K75" s="579"/>
      <x:c r="L75" s="579"/>
      <x:c r="M75" s="579"/>
      <x:c r="N75" s="579"/>
    </x:row>
    <x:row r="76" ht="26.049999237060547" customHeight="1">
      <x:c r="A76" s="4"/>
      <x:c r="B76" s="5"/>
      <x:c r="C76" s="641" t="s">
        <x:v>377</x:v>
      </x:c>
      <x:c r="D76" s="642"/>
      <x:c r="E76" s="642"/>
      <x:c r="F76" s="642"/>
      <x:c r="G76" s="579"/>
      <x:c r="H76" s="579"/>
      <x:c r="I76" s="579"/>
      <x:c r="J76" s="579"/>
      <x:c r="K76" s="579"/>
      <x:c r="L76" s="579"/>
      <x:c r="M76" s="579"/>
      <x:c r="N76" s="579"/>
    </x:row>
    <x:row r="77" ht="22.200000762939453" customHeight="1">
      <x:c r="A77" s="4"/>
      <x:c r="B77" s="5"/>
      <x:c r="C77" s="621" t="s">
        <x:v>378</x:v>
      </x:c>
      <x:c r="D77" s="453"/>
      <x:c r="E77" s="453"/>
      <x:c r="F77" s="453"/>
      <x:c r="G77" s="579"/>
      <x:c r="H77" s="579"/>
      <x:c r="I77" s="579"/>
      <x:c r="J77" s="579"/>
      <x:c r="K77" s="579"/>
      <x:c r="L77" s="579"/>
      <x:c r="M77" s="579"/>
      <x:c r="N77" s="579"/>
    </x:row>
    <x:row r="78" ht="34.29999923706055" customHeight="1">
      <x:c r="A78" s="4"/>
      <x:c r="B78" s="5"/>
      <x:c r="C78" s="621" t="s">
        <x:v>379</x:v>
      </x:c>
      <x:c r="D78" s="453"/>
      <x:c r="E78" s="453"/>
      <x:c r="F78" s="453"/>
      <x:c r="G78" s="579"/>
      <x:c r="H78" s="579"/>
      <x:c r="I78" s="579"/>
      <x:c r="J78" s="579"/>
      <x:c r="K78" s="579"/>
      <x:c r="L78" s="579"/>
      <x:c r="M78" s="579"/>
      <x:c r="N78" s="579"/>
    </x:row>
    <x:row r="79" ht="22.200000762939453" customHeight="1">
      <x:c r="A79" s="4"/>
      <x:c r="B79" s="5"/>
      <x:c r="C79" s="621" t="s">
        <x:v>380</x:v>
      </x:c>
      <x:c r="D79" s="453"/>
      <x:c r="E79" s="453"/>
      <x:c r="F79" s="453"/>
      <x:c r="G79" s="579"/>
      <x:c r="H79" s="579"/>
      <x:c r="I79" s="579"/>
      <x:c r="J79" s="579"/>
      <x:c r="K79" s="579"/>
      <x:c r="L79" s="579"/>
      <x:c r="M79" s="579"/>
      <x:c r="N79" s="579"/>
    </x:row>
    <x:row r="80" ht="22.200000762939453" customHeight="1">
      <x:c r="A80" s="4"/>
      <x:c r="B80" s="5"/>
      <x:c r="C80" s="621" t="s">
        <x:v>381</x:v>
      </x:c>
      <x:c r="D80" s="453"/>
      <x:c r="E80" s="453"/>
      <x:c r="F80" s="453"/>
      <x:c r="G80" s="579"/>
      <x:c r="H80" s="579"/>
      <x:c r="I80" s="579"/>
      <x:c r="J80" s="579"/>
      <x:c r="K80" s="579"/>
      <x:c r="L80" s="579"/>
      <x:c r="M80" s="579"/>
      <x:c r="N80" s="579"/>
    </x:row>
    <x:row r="81" ht="22.200000762939453" customHeight="1">
      <x:c r="A81" s="7"/>
      <x:c r="B81" s="8"/>
      <x:c r="C81" s="219" t="s">
        <x:v>382</x:v>
      </x:c>
      <x:c r="D81" s="220"/>
      <x:c r="E81" s="220"/>
      <x:c r="F81" s="221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02  |  THE UNDERWRITING ASSUMPTIONS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Which variables drive the project and which remain unverified?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Use blue source inputs for scenarios; delivery time and power economics must be validated independently.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Critical IT capacity</x:v>
      </x:c>
      <x:c r="Q211" s="1035" t="n">
        <x:f>D7</x:f>
        <x:v>10</x:v>
      </x:c>
      <x:c r="R211" s="599" t="str">
        <x:v>Inputs tab</x:v>
      </x:c>
      <x:c r="S211" s="599" t="str">
        <x:v>GII case size.</x:v>
      </x:c>
    </x:row>
    <x:row r="212" ht="17.110000610351562" hidden="0" customHeight="1">
      <x:c r="P212" s="509" t="str">
        <x:v>Illustrative land area</x:v>
      </x:c>
      <x:c r="Q212" s="1049" t="n">
        <x:f>D9</x:f>
        <x:v>6</x:v>
      </x:c>
      <x:c r="R212" s="510" t="str">
        <x:v>Inputs tab</x:v>
      </x:c>
      <x:c r="S212" s="510" t="str">
        <x:v>Planning placeholder, not a parcel or engineering layout.</x:v>
      </x:c>
    </x:row>
    <x:row r="213" ht="17.110000610351562" hidden="0" customHeight="1">
      <x:c r="P213" s="597" t="str">
        <x:v>Land opportunity cost per acre</x:v>
      </x:c>
      <x:c r="Q213" s="1037" t="n">
        <x:f>D10</x:f>
        <x:v>8000000</x:v>
      </x:c>
      <x:c r="R213" s="599" t="str">
        <x:v>Inputs tab</x:v>
      </x:c>
      <x:c r="S213" s="599" t="str">
        <x:v>GII assumption; requires appraisal or purchase contract.</x:v>
      </x:c>
    </x:row>
    <x:row r="214" ht="17.110000610351562" hidden="0" customHeight="1">
      <x:c r="P214" s="509" t="str">
        <x:v>Illustrative gross building area</x:v>
      </x:c>
      <x:c r="Q214" s="1050" t="n">
        <x:f>D11</x:f>
        <x:v>100000</x:v>
      </x:c>
      <x:c r="R214" s="510" t="str">
        <x:v>Inputs tab</x:v>
      </x:c>
      <x:c r="S214" s="510" t="str">
        <x:v>Planning placeholder.</x:v>
      </x:c>
    </x:row>
    <x:row r="215" ht="30.219999313354492" hidden="0" customHeight="1">
      <x:c r="P215" s="597" t="str">
        <x:v>Construction duration</x:v>
      </x:c>
      <x:c r="Q215" s="1051" t="n">
        <x:f>D12</x:f>
        <x:v>24</x:v>
      </x:c>
      <x:c r="R215" s="599" t="str">
        <x:v>Inputs tab</x:v>
      </x:c>
      <x:c r="S215" s="599" t="str">
        <x:v>Fixed model timeline; rebuild the schedules before changing it.</x:v>
      </x:c>
    </x:row>
    <x:row r="216" ht="30.219999313354492" hidden="0" customHeight="1">
      <x:c r="P216" s="509" t="str">
        <x:v>Year-1 gross capacity rent</x:v>
      </x:c>
      <x:c r="Q216" s="1129" t="n">
        <x:f>D19</x:f>
        <x:v>225</x:v>
      </x:c>
      <x:c r="R216" s="510" t="str">
        <x:v>Inputs tab</x:v>
      </x:c>
      <x:c r="S216" s="510" t="str">
        <x:v>GII underwriting assumption; includes non-power facility operating costs, excludes electricity.</x:v>
      </x:c>
    </x:row>
    <x:row r="217" ht="17.110000610351562" hidden="0" customHeight="1">
      <x:c r="P217" s="597" t="str">
        <x:v>Average IT electrical load / capacity</x:v>
      </x:c>
      <x:c r="Q217" s="672" t="n">
        <x:f>D24</x:f>
        <x:v>0.85</x:v>
      </x:c>
      <x:c r="R217" s="599" t="str">
        <x:v>Inputs tab</x:v>
      </x:c>
      <x:c r="S217" s="599" t="str">
        <x:v>Electrical loading across ALL 10 MW.</x:v>
      </x:c>
    </x:row>
    <x:row r="218" ht="17.110000610351562" hidden="0" customHeight="1">
      <x:c r="P218" s="509" t="str">
        <x:v>Annual energy PUE assumption</x:v>
      </x:c>
      <x:c r="Q218" s="1053" t="n">
        <x:f>D25</x:f>
        <x:v>1.36</x:v>
      </x:c>
      <x:c r="R218" s="510" t="str">
        <x:v>Inputs tab</x:v>
      </x:c>
      <x:c r="S218" s="510" t="str">
        <x:v>Illustrative site PUE.</x:v>
      </x:c>
    </x:row>
    <x:row r="219" ht="30.219999313354492" hidden="0" customHeight="1">
      <x:c r="P219" s="597" t="str">
        <x:v>Blended electricity benchmark</x:v>
      </x:c>
      <x:c r="Q219" s="1131" t="n">
        <x:f>D26</x:f>
        <x:v>0.159</x:v>
      </x:c>
      <x:c r="R219" s="599" t="str">
        <x:v>Inputs tab</x:v>
      </x:c>
      <x:c r="S219" s="599" t="str">
        <x:v>SVP CB-6 published class-average reference effective Jan 1, 2026.</x:v>
      </x:c>
    </x:row>
    <x:row r="220" ht="17.110000610351562" hidden="0" customHeight="1">
      <x:c r="P220" s="509" t="str">
        <x:v>Assumed lease duration</x:v>
      </x:c>
      <x:c r="Q220" s="1055" t="n">
        <x:f>D27</x:f>
        <x:v>15</x:v>
      </x:c>
      <x:c r="R220" s="510" t="str">
        <x:v>Inputs tab</x:v>
      </x:c>
      <x:c r="S220" s="510" t="str">
        <x:v>Illustrative lease.</x:v>
      </x:c>
    </x:row>
    <x:row r="221" ht="17.110000610351562" hidden="0" customHeight="1">
      <x:c r="P221" s="597" t="str">
        <x:v>Terminal property capitalization rate</x:v>
      </x:c>
      <x:c r="Q221" s="672" t="n">
        <x:f>D29</x:f>
        <x:v>0.07</x:v>
      </x:c>
      <x:c r="R221" s="599" t="str">
        <x:v>Inputs tab</x:v>
      </x:c>
      <x:c r="S221" s="599" t="str">
        <x:v>Illustrative valuation sensitivity; NOT a market appraisal.</x:v>
      </x:c>
    </x:row>
    <x:row r="222" ht="17.110000610351562" hidden="0" customHeight="1">
      <x:c r="P222" s="509" t="str">
        <x:v>Debt / eligible pre-financing cost</x:v>
      </x:c>
      <x:c r="Q222" s="611" t="n">
        <x:f>D31</x:f>
        <x:v>0.6</x:v>
      </x:c>
      <x:c r="R222" s="510" t="str">
        <x:v>Inputs tab</x:v>
      </x:c>
      <x:c r="S222" s="510" t="str">
        <x:v>Debt finances 60% of $194.9m eligible costs.</x:v>
      </x:c>
    </x:row>
    <x:row r="223" ht="30.219999313354492" hidden="0" customHeight="1">
      <x:c r="P223" s="597" t="str">
        <x:v>Construction loan interest rate</x:v>
      </x:c>
      <x:c r="Q223" s="672" t="n">
        <x:f>D32</x:f>
        <x:v>0.08</x:v>
      </x:c>
      <x:c r="R223" s="599" t="str">
        <x:v>Inputs tab</x:v>
      </x:c>
      <x:c r="S223" s="599" t="str">
        <x:v>Illustrative floating-equivalent simple rate; no actual lender quote.</x:v>
      </x:c>
    </x:row>
    <x:row r="224" ht="30.219999313354492" hidden="0" customHeight="1">
      <x:c r="P224" s="509" t="str">
        <x:v>Operating loan interest rate</x:v>
      </x:c>
      <x:c r="Q224" s="611" t="n">
        <x:f>D33</x:f>
        <x:v>0.07</x:v>
      </x:c>
      <x:c r="R224" s="510" t="str">
        <x:v>Inputs tab</x:v>
      </x:c>
      <x:c r="S224" s="510" t="str">
        <x:v>Assumed same-principal conversion to 10-year interest-only debt; no refinancing fee.</x:v>
      </x:c>
    </x:row>
    <x:row r="225" ht="2" customHeight="1">
      <x:c r="P225" s="509"/>
      <x:c r="Q225" s="510"/>
      <x:c r="R225" s="510"/>
      <x:c r="S225" s="510"/>
    </x:row>
    <x:row r="226" ht="2" customHeight="1">
      <x:c r="P226" s="509"/>
      <x:c r="Q226" s="510"/>
      <x:c r="R226" s="510"/>
      <x:c r="S226" s="510"/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06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78:F78"/>
    <x:mergeCell ref="C79:F79"/>
    <x:mergeCell ref="C80:F80"/>
    <x:mergeCell ref="C81:F81"/>
    <x:mergeCell ref="C53:F53"/>
    <x:mergeCell ref="C60:F60"/>
    <x:mergeCell ref="C71:F71"/>
    <x:mergeCell ref="C76:F76"/>
    <x:mergeCell ref="C77:F77"/>
    <x:mergeCell ref="C3:F3"/>
    <x:mergeCell ref="C4:F4"/>
    <x:mergeCell ref="C6:F6"/>
    <x:mergeCell ref="C18:F18"/>
    <x:mergeCell ref="C38:F38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7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383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384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385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386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168</x:v>
      </x:c>
      <x:c r="D12" s="985" t="n">
        <x:f>Inputs!D7</x:f>
        <x:v>10</x:v>
      </x:c>
      <x:c r="E12" s="450" t="str">
        <x:v>Inputs tab</x:v>
      </x:c>
      <x:c r="F12" s="450" t="s">
        <x:v>387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388</x:v>
      </x:c>
      <x:c r="D13" s="986" t="n">
        <x:f>Inputs!D9</x:f>
        <x:v>6</x:v>
      </x:c>
      <x:c r="E13" s="453" t="str">
        <x:v>Inputs tab</x:v>
      </x:c>
      <x:c r="F13" s="453" t="s">
        <x:v>389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249</x:v>
      </x:c>
      <x:c r="D14" s="913" t="n">
        <x:f>Inputs!D10</x:f>
        <x:v>8000000</x:v>
      </x:c>
      <x:c r="E14" s="450" t="str">
        <x:v>Inputs tab</x:v>
      </x:c>
      <x:c r="F14" s="450" t="s">
        <x:v>390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391</x:v>
      </x:c>
      <x:c r="D15" s="987" t="n">
        <x:f>Inputs!D11</x:f>
        <x:v>100000</x:v>
      </x:c>
      <x:c r="E15" s="453" t="str">
        <x:v>Inputs tab</x:v>
      </x:c>
      <x:c r="F15" s="453" t="s">
        <x:v>392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393</x:v>
      </x:c>
      <x:c r="D16" s="988" t="n">
        <x:f>Inputs!D12</x:f>
        <x:v>24</x:v>
      </x:c>
      <x:c r="E16" s="450" t="str">
        <x:v>Inputs tab</x:v>
      </x:c>
      <x:c r="F16" s="450" t="s">
        <x:v>394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5" customHeight="1">
      <x:c r="A17" s="4"/>
      <x:c r="B17" s="5"/>
      <x:c r="C17" s="641" t="s">
        <x:v>395</x:v>
      </x:c>
      <x:c r="D17" s="977"/>
      <x:c r="E17" s="642"/>
      <x:c r="F17" s="642"/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396</x:v>
      </x:c>
      <x:c r="D18" s="480" t="n">
        <x:f>Inputs!D19</x:f>
        <x:v>225</x:v>
      </x:c>
      <x:c r="E18" s="450" t="str">
        <x:v>Inputs tab</x:v>
      </x:c>
      <x:c r="F18" s="450" t="s">
        <x:v>397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398</x:v>
      </x:c>
      <x:c r="D19" s="468" t="n">
        <x:f>Inputs!D20</x:f>
        <x:v>1</x:v>
      </x:c>
      <x:c r="E19" s="453" t="str">
        <x:v>Inputs tab</x:v>
      </x:c>
      <x:c r="F19" s="453" t="s">
        <x:v>399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400</x:v>
      </x:c>
      <x:c r="D20" s="472" t="n">
        <x:f>Inputs!D21</x:f>
        <x:v>0.025</x:v>
      </x:c>
      <x:c r="E20" s="450" t="str">
        <x:v>Inputs tab</x:v>
      </x:c>
      <x:c r="F20" s="450" t="s">
        <x:v>401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402</x:v>
      </x:c>
      <x:c r="D21" s="468" t="n">
        <x:f>Inputs!D24</x:f>
        <x:v>0.85</x:v>
      </x:c>
      <x:c r="E21" s="453" t="str">
        <x:v>Inputs tab</x:v>
      </x:c>
      <x:c r="F21" s="453" t="s">
        <x:v>403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404</x:v>
      </x:c>
      <x:c r="D22" s="889" t="n">
        <x:f>Inputs!D25</x:f>
        <x:v>1.36</x:v>
      </x:c>
      <x:c r="E22" s="450" t="str">
        <x:v>Inputs tab</x:v>
      </x:c>
      <x:c r="F22" s="450" t="s">
        <x:v>405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406</x:v>
      </x:c>
      <x:c r="D23" s="1135" t="n">
        <x:f>Inputs!D26</x:f>
        <x:v>0.159</x:v>
      </x:c>
      <x:c r="E23" s="453" t="str">
        <x:v>Inputs tab</x:v>
      </x:c>
      <x:c r="F23" s="453" t="s">
        <x:v>407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408</x:v>
      </x:c>
      <x:c r="D24" s="989" t="n">
        <x:f>Inputs!D27</x:f>
        <x:v>15</x:v>
      </x:c>
      <x:c r="E24" s="450" t="str">
        <x:v>Inputs tab</x:v>
      </x:c>
      <x:c r="F24" s="450" t="s">
        <x:v>409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410</x:v>
      </x:c>
      <x:c r="D25" s="990" t="n">
        <x:f>Inputs!D28</x:f>
        <x:v>10</x:v>
      </x:c>
      <x:c r="E25" s="453" t="str">
        <x:v>Inputs tab</x:v>
      </x:c>
      <x:c r="F25" s="453" t="s">
        <x:v>411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412</x:v>
      </x:c>
      <x:c r="D26" s="472" t="n">
        <x:f>Inputs!D29</x:f>
        <x:v>0.07</x:v>
      </x:c>
      <x:c r="E26" s="450" t="str">
        <x:v>Inputs tab</x:v>
      </x:c>
      <x:c r="F26" s="450" t="s">
        <x:v>413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414</x:v>
      </x:c>
      <x:c r="D27" s="468" t="n">
        <x:f>Inputs!D31</x:f>
        <x:v>0.6</x:v>
      </x:c>
      <x:c r="E27" s="453" t="str">
        <x:v>Inputs tab</x:v>
      </x:c>
      <x:c r="F27" s="453" t="s">
        <x:v>415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416</x:v>
      </x:c>
      <x:c r="D28" s="472" t="n">
        <x:f>Inputs!D32</x:f>
        <x:v>0.08</x:v>
      </x:c>
      <x:c r="E28" s="450" t="str">
        <x:v>Inputs tab</x:v>
      </x:c>
      <x:c r="F28" s="450" t="s">
        <x:v>417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418</x:v>
      </x:c>
      <x:c r="D29" s="468" t="n">
        <x:f>Inputs!D33</x:f>
        <x:v>0.07</x:v>
      </x:c>
      <x:c r="E29" s="453" t="str">
        <x:v>Inputs tab</x:v>
      </x:c>
      <x:c r="F29" s="453" t="s">
        <x:v>419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5" customHeight="1">
      <x:c r="A30" s="4"/>
      <x:c r="B30" s="5"/>
      <x:c r="C30" s="641" t="s">
        <x:v>420</x:v>
      </x:c>
      <x:c r="D30" s="977"/>
      <x:c r="E30" s="642"/>
      <x:c r="F30" s="642"/>
      <x:c r="G30" s="579"/>
      <x:c r="H30" s="579"/>
      <x:c r="I30" s="579"/>
      <x:c r="J30" s="579"/>
      <x:c r="K30" s="579"/>
      <x:c r="L30" s="579"/>
      <x:c r="M30" s="579"/>
      <x:c r="N30" s="579"/>
    </x:row>
    <x:row r="31" ht="22.75" customHeight="1">
      <x:c r="A31" s="4"/>
      <x:c r="B31" s="5"/>
      <x:c r="C31" s="454" t="s">
        <x:v>339</x:v>
      </x:c>
      <x:c r="D31" s="468" t="n">
        <x:f>Inputs!D51</x:f>
        <x:v>0.1</x:v>
      </x:c>
      <x:c r="E31" s="453" t="str">
        <x:v>Inputs tab</x:v>
      </x:c>
      <x:c r="F31" s="453" t="s">
        <x:v>421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22.75" customHeight="1">
      <x:c r="A32" s="4"/>
      <x:c r="B32" s="5"/>
      <x:c r="C32" s="451" t="s">
        <x:v>422</x:v>
      </x:c>
      <x:c r="D32" s="991" t="n">
        <x:f>Inputs!D61</x:f>
        <x:v>4000</x:v>
      </x:c>
      <x:c r="E32" s="450" t="str">
        <x:v>Inputs tab</x:v>
      </x:c>
      <x:c r="F32" s="450" t="s">
        <x:v>423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22.75" customHeight="1">
      <x:c r="A33" s="4"/>
      <x:c r="B33" s="5"/>
      <x:c r="C33" s="454" t="s">
        <x:v>424</x:v>
      </x:c>
      <x:c r="D33" s="468" t="n">
        <x:f>Inputs!D66</x:f>
        <x:v>0.75</x:v>
      </x:c>
      <x:c r="E33" s="453" t="str">
        <x:v>Inputs tab</x:v>
      </x:c>
      <x:c r="F33" s="453" t="s">
        <x:v>425</x:v>
      </x:c>
      <x:c r="G33" s="579"/>
      <x:c r="H33" s="579"/>
      <x:c r="I33" s="579"/>
      <x:c r="J33" s="579"/>
      <x:c r="K33" s="579"/>
      <x:c r="L33" s="579"/>
      <x:c r="M33" s="579"/>
      <x:c r="N33" s="579"/>
    </x:row>
    <x:row r="34" ht="9" customHeight="1">
      <x:c r="A34" s="4"/>
      <x:c r="B34" s="5"/>
      <x:c r="C34" s="454"/>
      <x:c r="D34" s="979"/>
      <x:c r="E34" s="453"/>
      <x:c r="F34" s="453"/>
      <x:c r="G34" s="579"/>
      <x:c r="H34" s="579"/>
      <x:c r="I34" s="579"/>
      <x:c r="J34" s="579"/>
      <x:c r="K34" s="579"/>
      <x:c r="L34" s="579"/>
      <x:c r="M34" s="579"/>
      <x:c r="N34" s="579"/>
    </x:row>
    <x:row r="35" ht="22.200000762939453" customHeight="1">
      <x:c r="A35" s="7"/>
      <x:c r="B35" s="8"/>
      <x:c r="C35" s="621" t="s">
        <x:v>233</x:v>
      </x:c>
      <x:c r="D35" s="979"/>
      <x:c r="E35" s="453"/>
      <x:c r="F35" s="453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02  |  THE UNDERWRITING ASSUMPTIONS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Which variables drive the project and which remain unverified?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Use blue source inputs for scenarios; delivery time and power economics must be validated independently.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PROPERTY AND DELIVERABILITY</x:v>
      </x:c>
      <x:c r="Q211" s="1047"/>
      <x:c r="R211" s="685" t="str"/>
      <x:c r="S211" s="685" t="str"/>
    </x:row>
    <x:row r="212" ht="17.110000610351562" hidden="0" customHeight="1">
      <x:c r="P212" s="509" t="str">
        <x:v>Critical IT capacity</x:v>
      </x:c>
      <x:c r="Q212" s="1063" t="n">
        <x:f>E02_Inputs!D12</x:f>
        <x:v>10</x:v>
      </x:c>
      <x:c r="R212" s="510" t="str">
        <x:v>Inputs tab</x:v>
      </x:c>
      <x:c r="S212" s="510" t="str">
        <x:v>Rated IT, NOT total utility draw.</x:v>
      </x:c>
    </x:row>
    <x:row r="213" ht="17.110000610351562" hidden="0" customHeight="1">
      <x:c r="P213" s="597" t="str">
        <x:v>Land area</x:v>
      </x:c>
      <x:c r="Q213" s="1064" t="n">
        <x:f>E02_Inputs!D13</x:f>
        <x:v>6</x:v>
      </x:c>
      <x:c r="R213" s="599" t="str">
        <x:v>Inputs tab</x:v>
      </x:c>
      <x:c r="S213" s="599" t="str">
        <x:v>Illustrative, no actual site selected.</x:v>
      </x:c>
    </x:row>
    <x:row r="214" ht="17.110000610351562" hidden="0" customHeight="1">
      <x:c r="P214" s="509" t="str">
        <x:v>Land opportunity cost per acre</x:v>
      </x:c>
      <x:c r="Q214" s="1036" t="n">
        <x:f>E02_Inputs!D14</x:f>
        <x:v>8000000</x:v>
      </x:c>
      <x:c r="R214" s="510" t="str">
        <x:v>Inputs tab</x:v>
      </x:c>
      <x:c r="S214" s="510" t="str">
        <x:v>Value land even when contributed.</x:v>
      </x:c>
    </x:row>
    <x:row r="215" ht="17.110000610351562" hidden="0" customHeight="1">
      <x:c r="P215" s="597" t="str">
        <x:v>Gross building area</x:v>
      </x:c>
      <x:c r="Q215" s="1065" t="n">
        <x:f>E02_Inputs!D15</x:f>
        <x:v>100000</x:v>
      </x:c>
      <x:c r="R215" s="599" t="str">
        <x:v>Inputs tab</x:v>
      </x:c>
      <x:c r="S215" s="599" t="str">
        <x:v>No universal MW-to-SF conversion.</x:v>
      </x:c>
    </x:row>
    <x:row r="216" ht="17.110000610351562" hidden="0" customHeight="1">
      <x:c r="P216" s="509" t="str">
        <x:v>Construction period</x:v>
      </x:c>
      <x:c r="Q216" s="1066" t="n">
        <x:f>E02_Inputs!D16</x:f>
        <x:v>24</x:v>
      </x:c>
      <x:c r="R216" s="510" t="str">
        <x:v>Inputs tab</x:v>
      </x:c>
      <x:c r="S216" s="510" t="str">
        <x:v>Structural 24 months; do not edit without rebuilding.</x:v>
      </x:c>
    </x:row>
    <x:row r="217" ht="16" hidden="0" customHeight="1">
      <x:c r="P217" s="684" t="str">
        <x:v>RENT, POWER AND CAPITAL</x:v>
      </x:c>
      <x:c r="Q217" s="1047"/>
      <x:c r="R217" s="685" t="str"/>
      <x:c r="S217" s="685" t="str"/>
    </x:row>
    <x:row r="218" ht="17.110000610351562" hidden="0" customHeight="1">
      <x:c r="P218" s="509" t="str">
        <x:v>Capacity rent per kW-month</x:v>
      </x:c>
      <x:c r="Q218" s="1052" t="n">
        <x:f>E02_Inputs!D18</x:f>
        <x:v>225</x:v>
      </x:c>
      <x:c r="R218" s="510" t="str">
        <x:v>Inputs tab</x:v>
      </x:c>
      <x:c r="S218" s="510" t="str">
        <x:v>Non-power facility expenses included.</x:v>
      </x:c>
    </x:row>
    <x:row r="219" ht="17.110000610351562" hidden="0" customHeight="1">
      <x:c r="P219" s="597" t="str">
        <x:v>Reserved capacity billed</x:v>
      </x:c>
      <x:c r="Q219" s="672" t="n">
        <x:f>E02_Inputs!D19</x:f>
        <x:v>1</x:v>
      </x:c>
      <x:c r="R219" s="599" t="str">
        <x:v>Inputs tab</x:v>
      </x:c>
      <x:c r="S219" s="599" t="str">
        <x:v>Contractual billability, not GPU utilization.</x:v>
      </x:c>
    </x:row>
    <x:row r="220" ht="17.110000610351562" hidden="0" customHeight="1">
      <x:c r="P220" s="509" t="str">
        <x:v>Rent escalation</x:v>
      </x:c>
      <x:c r="Q220" s="611" t="n">
        <x:f>E02_Inputs!D20</x:f>
        <x:v>0.025</x:v>
      </x:c>
      <x:c r="R220" s="510" t="str">
        <x:v>Inputs tab</x:v>
      </x:c>
      <x:c r="S220" s="510" t="str">
        <x:v>Annually.</x:v>
      </x:c>
    </x:row>
    <x:row r="221" ht="17.110000610351562" hidden="0" customHeight="1">
      <x:c r="P221" s="597" t="str">
        <x:v>Average IT electrical loading</x:v>
      </x:c>
      <x:c r="Q221" s="672" t="n">
        <x:f>E02_Inputs!D21</x:f>
        <x:v>0.85</x:v>
      </x:c>
      <x:c r="R221" s="599" t="str">
        <x:v>Inputs tab</x:v>
      </x:c>
      <x:c r="S221" s="599" t="str">
        <x:v>Electrical load, NOT billable occupancy.</x:v>
      </x:c>
    </x:row>
    <x:row r="222" ht="17.110000610351562" hidden="0" customHeight="1">
      <x:c r="P222" s="509" t="str">
        <x:v>Annual facility PUE</x:v>
      </x:c>
      <x:c r="Q222" s="1053" t="n">
        <x:f>E02_Inputs!D22</x:f>
        <x:v>1.36</x:v>
      </x:c>
      <x:c r="R222" s="510" t="str">
        <x:v>Inputs tab</x:v>
      </x:c>
      <x:c r="S222" s="510" t="str">
        <x:v>Total facility energy / IT energy.</x:v>
      </x:c>
    </x:row>
    <x:row r="223" ht="17.110000610351562" hidden="0" customHeight="1">
      <x:c r="P223" s="597" t="str">
        <x:v>Blended electricity reference</x:v>
      </x:c>
      <x:c r="Q223" s="1131" t="n">
        <x:f>E02_Inputs!D23</x:f>
        <x:v>0.159</x:v>
      </x:c>
      <x:c r="R223" s="599" t="str">
        <x:v>Inputs tab</x:v>
      </x:c>
      <x:c r="S223" s="599" t="str">
        <x:v>Tariff verification required.</x:v>
      </x:c>
    </x:row>
    <x:row r="224" ht="17.110000610351562" hidden="0" customHeight="1">
      <x:c r="P224" s="509" t="str">
        <x:v>Assumed lease term</x:v>
      </x:c>
      <x:c r="Q224" s="1055" t="n">
        <x:f>E02_Inputs!D24</x:f>
        <x:v>15</x:v>
      </x:c>
      <x:c r="R224" s="510" t="str">
        <x:v>Inputs tab</x:v>
      </x:c>
      <x:c r="S224" s="510" t="str">
        <x:v>Ten operating years held, then assumed sale.</x:v>
      </x:c>
    </x:row>
    <x:row r="225" ht="17.110000610351562" hidden="0" customHeight="1">
      <x:c r="P225" s="597" t="str">
        <x:v>Operating hold</x:v>
      </x:c>
      <x:c r="Q225" s="1067" t="n">
        <x:f>E02_Inputs!D25</x:f>
        <x:v>10</x:v>
      </x:c>
      <x:c r="R225" s="599" t="str">
        <x:v>Inputs tab</x:v>
      </x:c>
      <x:c r="S225" s="599" t="str">
        <x:v>Structural fixed-year model.</x:v>
      </x:c>
    </x:row>
    <x:row r="226" ht="17.110000610351562" hidden="0" customHeight="1">
      <x:c r="P226" s="509" t="str">
        <x:v>Exit capitalization rate</x:v>
      </x:c>
      <x:c r="Q226" s="611" t="n">
        <x:f>E02_Inputs!D26</x:f>
        <x:v>0.07</x:v>
      </x:c>
      <x:c r="R226" s="510" t="str">
        <x:v>Inputs tab</x:v>
      </x:c>
      <x:c r="S226" s="510" t="str">
        <x:v>Not a transactional market quotation.</x:v>
      </x:c>
    </x:row>
    <x:row r="227" ht="17.110000610351562" hidden="0" customHeight="1">
      <x:c r="P227" s="597" t="str">
        <x:v>Debt share of pre-financing uses</x:v>
      </x:c>
      <x:c r="Q227" s="672" t="n">
        <x:f>E02_Inputs!D27</x:f>
        <x:v>0.6</x:v>
      </x:c>
      <x:c r="R227" s="599" t="str">
        <x:v>Inputs tab</x:v>
      </x:c>
      <x:c r="S227" s="599" t="str">
        <x:v>Different from debt/all-in uses.</x:v>
      </x:c>
    </x:row>
    <x:row r="228" ht="17.110000610351562" hidden="0" customHeight="1">
      <x:c r="P228" s="509" t="str">
        <x:v>Construction interest</x:v>
      </x:c>
      <x:c r="Q228" s="611" t="n">
        <x:f>E02_Inputs!D28</x:f>
        <x:v>0.08</x:v>
      </x:c>
      <x:c r="R228" s="510" t="str">
        <x:v>Inputs tab</x:v>
      </x:c>
      <x:c r="S228" s="510" t="str">
        <x:v>Annual model assumption.</x:v>
      </x:c>
    </x:row>
    <x:row r="229" ht="17.110000610351562" hidden="0" customHeight="1">
      <x:c r="P229" s="597" t="str">
        <x:v>Operating interest</x:v>
      </x:c>
      <x:c r="Q229" s="672" t="n">
        <x:f>E02_Inputs!D29</x:f>
        <x:v>0.07</x:v>
      </x:c>
      <x:c r="R229" s="599" t="str">
        <x:v>Inputs tab</x:v>
      </x:c>
      <x:c r="S229" s="599" t="str">
        <x:v>Interest only.</x:v>
      </x:c>
    </x:row>
    <x:row r="230" ht="16" hidden="0" customHeight="1">
      <x:c r="P230" s="684" t="str">
        <x:v>FACILITY AND CLOUD BOUNDARY</x:v>
      </x:c>
      <x:c r="Q230" s="1047"/>
      <x:c r="R230" s="685" t="str"/>
      <x:c r="S230" s="685" t="str"/>
    </x:row>
    <x:row r="231" ht="17.110000610351562" hidden="0" customHeight="1">
      <x:c r="P231" s="597" t="str">
        <x:v>Hard-cost contingency</x:v>
      </x:c>
      <x:c r="Q231" s="672" t="n">
        <x:f>E02_Inputs!D31</x:f>
        <x:v>0.1</x:v>
      </x:c>
      <x:c r="R231" s="599" t="str">
        <x:v>Inputs tab</x:v>
      </x:c>
      <x:c r="S231" s="599" t="str">
        <x:v>Applies to facility hard costs.</x:v>
      </x:c>
    </x:row>
    <x:row r="232" ht="17.110000610351562" hidden="0" customHeight="1">
      <x:c r="P232" s="509" t="str">
        <x:v>GPU count: optional cloud case</x:v>
      </x:c>
      <x:c r="Q232" s="1068" t="n">
        <x:f>E02_Inputs!D32</x:f>
        <x:v>4000</x:v>
      </x:c>
      <x:c r="R232" s="510" t="str">
        <x:v>Inputs tab</x:v>
      </x:c>
      <x:c r="S232" s="510" t="str">
        <x:v>Not purchased by the property landlord.</x:v>
      </x:c>
    </x:row>
    <x:row r="233" ht="17.110000610351562" hidden="0" customHeight="1">
      <x:c r="P233" s="597" t="str">
        <x:v>Paid GPU-hour fraction</x:v>
      </x:c>
      <x:c r="Q233" s="672" t="n">
        <x:f>E02_Inputs!D33</x:f>
        <x:v>0.75</x:v>
      </x:c>
      <x:c r="R233" s="599" t="str">
        <x:v>Inputs tab</x:v>
      </x:c>
      <x:c r="S233" s="599" t="str">
        <x:v>Separate from reserved MW and electrical loading.</x:v>
      </x:c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07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0:F30"/>
    <x:mergeCell ref="C35:F35"/>
    <x:mergeCell ref="C3:D3"/>
    <x:mergeCell ref="C4:F4"/>
    <x:mergeCell ref="C5:F5"/>
    <x:mergeCell ref="C7:F7"/>
    <x:mergeCell ref="C11:F11"/>
    <x:mergeCell ref="C17:F17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17:S217"/>
    <x:mergeCell ref="P230:S230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8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1.23046875" customWidth="1"/>
    <x:col min="4" max="4" width="20.61328125" customWidth="1"/>
    <x:col min="5" max="5" width="18.765625" customWidth="1"/>
    <x:col min="6" max="6" width="61.230468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426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427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428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429</x:v>
      </x:c>
      <x:c r="D6" s="623" t="s">
        <x:v>430</x:v>
      </x:c>
      <x:c r="E6" s="623" t="s">
        <x:v>431</x:v>
      </x:c>
      <x:c r="F6" s="623" t="s">
        <x:v>432</x:v>
      </x:c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433</x:v>
      </x:c>
      <x:c r="D7" s="452" t="n">
        <x:f>Inputs!D9*Inputs!D10</x:f>
        <x:v>48000000</x:v>
      </x:c>
      <x:c r="E7" s="452" t="n">
        <x:f>D7/Inputs!$D$7</x:f>
        <x:v>4800000</x:v>
      </x:c>
      <x:c r="F7" s="453" t="s">
        <x:v>434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435</x:v>
      </x:c>
      <x:c r="D8" s="449" t="n">
        <x:f>Inputs!D39</x:f>
        <x:v>5000000</x:v>
      </x:c>
      <x:c r="E8" s="449" t="n">
        <x:f>D8/Inputs!$D$7</x:f>
        <x:v>500000</x:v>
      </x:c>
      <x:c r="F8" s="450" t="s">
        <x:v>436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454" t="s">
        <x:v>437</x:v>
      </x:c>
      <x:c r="D9" s="452" t="n">
        <x:f>Inputs!D11*Inputs!D40</x:f>
        <x:v>23000000</x:v>
      </x:c>
      <x:c r="E9" s="452" t="n">
        <x:f>D9/Inputs!$D$7</x:f>
        <x:v>2300000</x:v>
      </x:c>
      <x:c r="F9" s="453" t="s">
        <x:v>438</x:v>
      </x:c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451" t="s">
        <x:v>319</x:v>
      </x:c>
      <x:c r="D10" s="449" t="n">
        <x:f>Inputs!D41</x:f>
        <x:v>12000000</x:v>
      </x:c>
      <x:c r="E10" s="449" t="n">
        <x:f>D10/Inputs!$D$7</x:f>
        <x:v>1200000</x:v>
      </x:c>
      <x:c r="F10" s="450" t="s">
        <x:v>439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440</x:v>
      </x:c>
      <x:c r="D11" s="452" t="n">
        <x:f>Inputs!D42</x:f>
        <x:v>35000000</x:v>
      </x:c>
      <x:c r="E11" s="452" t="n">
        <x:f>D11/Inputs!$D$7</x:f>
        <x:v>3500000</x:v>
      </x:c>
      <x:c r="F11" s="453" t="s">
        <x:v>441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442</x:v>
      </x:c>
      <x:c r="D12" s="449" t="n">
        <x:f>Inputs!D43</x:f>
        <x:v>12000000</x:v>
      </x:c>
      <x:c r="E12" s="449" t="n">
        <x:f>D12/Inputs!$D$7</x:f>
        <x:v>1200000</x:v>
      </x:c>
      <x:c r="F12" s="450" t="s">
        <x:v>443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444</x:v>
      </x:c>
      <x:c r="D13" s="452" t="n">
        <x:f>Inputs!D44</x:f>
        <x:v>23000000</x:v>
      </x:c>
      <x:c r="E13" s="452" t="n">
        <x:f>D13/Inputs!$D$7</x:f>
        <x:v>2300000</x:v>
      </x:c>
      <x:c r="F13" s="453" t="s">
        <x:v>445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446</x:v>
      </x:c>
      <x:c r="D14" s="449" t="n">
        <x:f>Inputs!D45</x:f>
        <x:v>6000000</x:v>
      </x:c>
      <x:c r="E14" s="449" t="n">
        <x:f>D14/Inputs!$D$7</x:f>
        <x:v>600000</x:v>
      </x:c>
      <x:c r="F14" s="450" t="s">
        <x:v>447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448</x:v>
      </x:c>
      <x:c r="D15" s="452" t="n">
        <x:f>Inputs!D46</x:f>
        <x:v>3000000</x:v>
      </x:c>
      <x:c r="E15" s="452" t="n">
        <x:f>D15/Inputs!$D$7</x:f>
        <x:v>300000</x:v>
      </x:c>
      <x:c r="F15" s="453" t="s">
        <x:v>449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644" t="str">
        <x:v>Base Hard Costs (before contingency)</x:v>
      </x:c>
      <x:c r="D16" s="32" t="n">
        <x:f>SUM(D8:D15)</x:f>
        <x:v>119000000</x:v>
      </x:c>
      <x:c r="E16" s="32" t="n">
        <x:f>D16/Inputs!$D$7</x:f>
        <x:v>11900000</x:v>
      </x:c>
      <x:c r="F16" s="645" t="s">
        <x:v>450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9" customHeight="1">
      <x:c r="A17" s="4"/>
      <x:c r="B17" s="5"/>
      <x:c r="C17" s="454"/>
      <x:c r="D17" s="453"/>
      <x:c r="E17" s="453"/>
      <x:c r="F17" s="453"/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451</x:v>
      </x:c>
      <x:c r="D18" s="731" t="n">
        <x:f>D7</x:f>
        <x:v>48000000</x:v>
      </x:c>
      <x:c r="E18" s="449" t="n">
        <x:f>D18/Inputs!$D$7</x:f>
        <x:v>4800000</x:v>
      </x:c>
      <x:c r="F18" s="450"/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tr">
        <x:v>Base Hard Costs (before contingency)</x:v>
      </x:c>
      <x:c r="D19" s="732" t="n">
        <x:f>D16</x:f>
        <x:v>119000000</x:v>
      </x:c>
      <x:c r="E19" s="452" t="n">
        <x:f>D19/Inputs!$D$7</x:f>
        <x:v>11900000</x:v>
      </x:c>
      <x:c r="F19" s="453"/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452</x:v>
      </x:c>
      <x:c r="D20" s="449" t="n">
        <x:f>Inputs!D47</x:f>
        <x:v>8000000</x:v>
      </x:c>
      <x:c r="E20" s="449" t="n">
        <x:f>D20/Inputs!$D$7</x:f>
        <x:v>800000</x:v>
      </x:c>
      <x:c r="F20" s="450"/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453</x:v>
      </x:c>
      <x:c r="D21" s="452" t="n">
        <x:f>Inputs!D48</x:f>
        <x:v>3000000</x:v>
      </x:c>
      <x:c r="E21" s="452" t="n">
        <x:f>D21/Inputs!$D$7</x:f>
        <x:v>300000</x:v>
      </x:c>
      <x:c r="F21" s="453"/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454</x:v>
      </x:c>
      <x:c r="D22" s="449" t="n">
        <x:f>Inputs!D49</x:f>
        <x:v>2000000</x:v>
      </x:c>
      <x:c r="E22" s="449" t="n">
        <x:f>D22/Inputs!$D$7</x:f>
        <x:v>200000</x:v>
      </x:c>
      <x:c r="F22" s="450"/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337</x:v>
      </x:c>
      <x:c r="D23" s="452" t="n">
        <x:f>Inputs!D50</x:f>
        <x:v>3000000</x:v>
      </x:c>
      <x:c r="E23" s="452" t="n">
        <x:f>D23/Inputs!$D$7</x:f>
        <x:v>300000</x:v>
      </x:c>
      <x:c r="F23" s="453"/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339</x:v>
      </x:c>
      <x:c r="D24" s="449" t="n">
        <x:f>D16*Inputs!D51</x:f>
        <x:v>11900000</x:v>
      </x:c>
      <x:c r="E24" s="449" t="n">
        <x:f>D24/Inputs!$D$7</x:f>
        <x:v>1190000</x:v>
      </x:c>
      <x:c r="F24" s="450" t="s">
        <x:v>455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644" t="str">
        <x:v>Eligible Development Cost — before finance</x:v>
      </x:c>
      <x:c r="D25" s="32" t="n">
        <x:f>SUM(D18:D24)</x:f>
        <x:v>194900000</x:v>
      </x:c>
      <x:c r="E25" s="32" t="n">
        <x:f>D25/Inputs!$D$7</x:f>
        <x:v>19490000</x:v>
      </x:c>
      <x:c r="F25" s="645" t="s">
        <x:v>456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9" customHeight="1">
      <x:c r="A26" s="4"/>
      <x:c r="B26" s="5"/>
      <x:c r="C26" s="454"/>
      <x:c r="D26" s="453"/>
      <x:c r="E26" s="453"/>
      <x:c r="F26" s="453"/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457</x:v>
      </x:c>
      <x:c r="D27" s="452" t="n">
        <x:f>D25*Inputs!D31</x:f>
        <x:v>116940000</x:v>
      </x:c>
      <x:c r="E27" s="452" t="n">
        <x:f>D27/Inputs!$D$7</x:f>
        <x:v>11694000</x:v>
      </x:c>
      <x:c r="F27" s="453" t="s">
        <x:v>458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459</x:v>
      </x:c>
      <x:c r="D28" s="449" t="n">
        <x:f>D27*Inputs!D34</x:f>
        <x:v>1169400</x:v>
      </x:c>
      <x:c r="E28" s="449" t="n">
        <x:f>D28/Inputs!$D$7</x:f>
        <x:v>116940</x:v>
      </x:c>
      <x:c r="F28" s="450" t="s">
        <x:v>460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461</x:v>
      </x:c>
      <x:c r="D29" s="452" t="n">
        <x:f>Construction!G33</x:f>
        <x:v>11659200.000000002</x:v>
      </x:c>
      <x:c r="E29" s="452" t="n">
        <x:f>D29/Inputs!$D$7</x:f>
        <x:v>1165920.0000000002</x:v>
      </x:c>
      <x:c r="F29" s="453" t="s">
        <x:v>462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644" t="str">
        <x:v>Development Financing Costs</x:v>
      </x:c>
      <x:c r="D30" s="32" t="n">
        <x:f>SUM(D28:D29)</x:f>
        <x:v>12828600.000000002</x:v>
      </x:c>
      <x:c r="E30" s="32" t="n">
        <x:f>D30/Inputs!$D$7</x:f>
        <x:v>1282860.0000000002</x:v>
      </x:c>
      <x:c r="F30" s="645"/>
      <x:c r="G30" s="579"/>
      <x:c r="H30" s="579"/>
      <x:c r="I30" s="579"/>
      <x:c r="J30" s="579"/>
      <x:c r="K30" s="579"/>
      <x:c r="L30" s="579"/>
      <x:c r="M30" s="579"/>
      <x:c r="N30" s="579"/>
    </x:row>
    <x:row r="31" ht="22.75" customHeight="1">
      <x:c r="A31" s="4"/>
      <x:c r="B31" s="5"/>
      <x:c r="C31" s="644" t="str">
        <x:v>TOTAL DEVELOPMENT COST</x:v>
      </x:c>
      <x:c r="D31" s="32" t="n">
        <x:f>SUM(D25,D30)</x:f>
        <x:v>207728600</x:v>
      </x:c>
      <x:c r="E31" s="32" t="n">
        <x:f>D31/Inputs!$D$7</x:f>
        <x:v>20772860</x:v>
      </x:c>
      <x:c r="F31" s="645" t="s">
        <x:v>463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22.75" customHeight="1">
      <x:c r="A32" s="4"/>
      <x:c r="B32" s="5"/>
      <x:c r="C32" s="644" t="s">
        <x:v>464</x:v>
      </x:c>
      <x:c r="D32" s="32" t="n">
        <x:f>D31-D27</x:f>
        <x:v>90788600</x:v>
      </x:c>
      <x:c r="E32" s="32" t="n">
        <x:f>D32/Inputs!$D$7</x:f>
        <x:v>9078860</x:v>
      </x:c>
      <x:c r="F32" s="645" t="s">
        <x:v>465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22.75" customHeight="1">
      <x:c r="A33" s="4"/>
      <x:c r="B33" s="5"/>
      <x:c r="C33" s="454" t="s">
        <x:v>466</x:v>
      </x:c>
      <x:c r="D33" s="733" t="n">
        <x:f>SUM(D27,D32)-D31</x:f>
        <x:v>0</x:v>
      </x:c>
      <x:c r="E33" s="453"/>
      <x:c r="F33" s="453" t="s">
        <x:v>467</x:v>
      </x:c>
      <x:c r="G33" s="579"/>
      <x:c r="H33" s="579"/>
      <x:c r="I33" s="579"/>
      <x:c r="J33" s="579"/>
      <x:c r="K33" s="579"/>
      <x:c r="L33" s="579"/>
      <x:c r="M33" s="579"/>
      <x:c r="N33" s="579"/>
    </x:row>
    <x:row r="34" ht="22.75" customHeight="1">
      <x:c r="A34" s="4"/>
      <x:c r="B34" s="5"/>
      <x:c r="C34" s="451" t="str">
        <x:v>Debt / Total Development Cost</x:v>
      </x:c>
      <x:c r="D34" s="734" t="n">
        <x:f>D27/D31</x:f>
        <x:v>0.5629460748303315</x:v>
      </x:c>
      <x:c r="E34" s="450"/>
      <x:c r="F34" s="450" t="s">
        <x:v>468</x:v>
      </x:c>
      <x:c r="G34" s="579"/>
      <x:c r="H34" s="579"/>
      <x:c r="I34" s="579"/>
      <x:c r="J34" s="579"/>
      <x:c r="K34" s="579"/>
      <x:c r="L34" s="579"/>
      <x:c r="M34" s="579"/>
      <x:c r="N34" s="579"/>
    </x:row>
    <x:row r="35" ht="22.75" customHeight="1">
      <x:c r="A35" s="4"/>
      <x:c r="B35" s="5"/>
      <x:c r="C35" s="454" t="str">
        <x:v>Total Development Cost / IT MW</x:v>
      </x:c>
      <x:c r="D35" s="452" t="n">
        <x:f>D31/Inputs!D7</x:f>
        <x:v>20772860</x:v>
      </x:c>
      <x:c r="E35" s="453"/>
      <x:c r="F35" s="453" t="s">
        <x:v>469</x:v>
      </x:c>
      <x:c r="G35" s="579"/>
      <x:c r="H35" s="579"/>
      <x:c r="I35" s="579"/>
      <x:c r="J35" s="579"/>
      <x:c r="K35" s="579"/>
      <x:c r="L35" s="579"/>
      <x:c r="M35" s="579"/>
      <x:c r="N35" s="579"/>
    </x:row>
    <x:row r="36" ht="22.75" customHeight="1">
      <x:c r="A36" s="4"/>
      <x:c r="B36" s="5"/>
      <x:c r="C36" s="451" t="str">
        <x:v>Total Development Cost / gross SF</x:v>
      </x:c>
      <x:c r="D36" s="455" t="n">
        <x:f>D31/Inputs!D11</x:f>
        <x:v>2077.286</x:v>
      </x:c>
      <x:c r="E36" s="450"/>
      <x:c r="F36" s="450" t="s">
        <x:v>470</x:v>
      </x:c>
      <x:c r="G36" s="579"/>
      <x:c r="H36" s="579"/>
      <x:c r="I36" s="579"/>
      <x:c r="J36" s="579"/>
      <x:c r="K36" s="579"/>
      <x:c r="L36" s="579"/>
      <x:c r="M36" s="579"/>
      <x:c r="N36" s="579"/>
    </x:row>
    <x:row r="37" ht="22.75" customHeight="1">
      <x:c r="A37" s="4"/>
      <x:c r="B37" s="5"/>
      <x:c r="C37" s="454" t="s">
        <x:v>471</x:v>
      </x:c>
      <x:c r="D37" s="452" t="n">
        <x:f>D25/Inputs!D7</x:f>
        <x:v>19490000</x:v>
      </x:c>
      <x:c r="E37" s="453"/>
      <x:c r="F37" s="453" t="s">
        <x:v>472</x:v>
      </x:c>
      <x:c r="G37" s="579"/>
      <x:c r="H37" s="579"/>
      <x:c r="I37" s="579"/>
      <x:c r="J37" s="579"/>
      <x:c r="K37" s="579"/>
      <x:c r="L37" s="579"/>
      <x:c r="M37" s="579"/>
      <x:c r="N37" s="579"/>
    </x:row>
    <x:row r="38" ht="9" customHeight="1">
      <x:c r="A38" s="4"/>
      <x:c r="B38" s="5"/>
      <x:c r="C38" s="454"/>
      <x:c r="D38" s="453"/>
      <x:c r="E38" s="453"/>
      <x:c r="F38" s="453"/>
      <x:c r="G38" s="579"/>
      <x:c r="H38" s="579"/>
      <x:c r="I38" s="579"/>
      <x:c r="J38" s="579"/>
      <x:c r="K38" s="579"/>
      <x:c r="L38" s="579"/>
      <x:c r="M38" s="579"/>
      <x:c r="N38" s="579"/>
    </x:row>
    <x:row r="39" ht="9" customHeight="1">
      <x:c r="A39" s="4"/>
      <x:c r="B39" s="5"/>
      <x:c r="C39" s="454"/>
      <x:c r="D39" s="453"/>
      <x:c r="E39" s="453"/>
      <x:c r="F39" s="453"/>
      <x:c r="G39" s="579"/>
      <x:c r="H39" s="579"/>
      <x:c r="I39" s="579"/>
      <x:c r="J39" s="579"/>
      <x:c r="K39" s="579"/>
      <x:c r="L39" s="579"/>
      <x:c r="M39" s="579"/>
      <x:c r="N39" s="579"/>
    </x:row>
    <x:row r="40" ht="22.200000762939453" customHeight="1">
      <x:c r="A40" s="4"/>
      <x:c r="B40" s="5"/>
      <x:c r="C40" s="621" t="str">
        <x:v>DEFINITION | Total Development Cost = Land + Hard Costs including construction contingency + Soft Costs including development finance. See the formula-linked cost bridge below.</x:v>
      </x:c>
      <x:c r="D40" s="453"/>
      <x:c r="E40" s="453"/>
      <x:c r="F40" s="453"/>
      <x:c r="G40" s="579"/>
      <x:c r="H40" s="579"/>
      <x:c r="I40" s="579"/>
      <x:c r="J40" s="579"/>
      <x:c r="K40" s="579"/>
      <x:c r="L40" s="579"/>
      <x:c r="M40" s="579"/>
      <x:c r="N40" s="579"/>
    </x:row>
    <x:row r="41" ht="9" customHeight="1">
      <x:c r="A41" s="4"/>
      <x:c r="B41" s="5"/>
      <x:c r="C41" s="454"/>
      <x:c r="D41" s="453"/>
      <x:c r="E41" s="453"/>
      <x:c r="F41" s="453"/>
      <x:c r="G41" s="579"/>
      <x:c r="H41" s="579"/>
      <x:c r="I41" s="579"/>
      <x:c r="J41" s="579"/>
      <x:c r="K41" s="579"/>
      <x:c r="L41" s="579"/>
      <x:c r="M41" s="579"/>
      <x:c r="N41" s="579"/>
    </x:row>
    <x:row r="42" ht="34.29999923706055" customHeight="1">
      <x:c r="A42" s="4"/>
      <x:c r="B42" s="5"/>
      <x:c r="C42" s="621" t="s">
        <x:v>473</x:v>
      </x:c>
      <x:c r="D42" s="453"/>
      <x:c r="E42" s="453"/>
      <x:c r="F42" s="453"/>
      <x:c r="G42" s="579"/>
      <x:c r="H42" s="579"/>
      <x:c r="I42" s="579"/>
      <x:c r="J42" s="579"/>
      <x:c r="K42" s="579"/>
      <x:c r="L42" s="579"/>
      <x:c r="M42" s="579"/>
      <x:c r="N42" s="579"/>
    </x:row>
    <x:row r="43" ht="9" customHeight="1">
      <x:c r="A43" s="4"/>
      <x:c r="B43" s="5"/>
      <x:c r="C43" s="454"/>
      <x:c r="D43" s="453"/>
      <x:c r="E43" s="453"/>
      <x:c r="F43" s="453"/>
      <x:c r="G43" s="579"/>
      <x:c r="H43" s="579"/>
      <x:c r="I43" s="579"/>
      <x:c r="J43" s="579"/>
      <x:c r="K43" s="579"/>
      <x:c r="L43" s="579"/>
      <x:c r="M43" s="579"/>
      <x:c r="N43" s="579"/>
    </x:row>
    <x:row r="44" ht="22.200000762939453" customHeight="1">
      <x:c r="A44" s="4"/>
      <x:c r="B44" s="5"/>
      <x:c r="C44" s="621" t="s">
        <x:v>474</x:v>
      </x:c>
      <x:c r="D44" s="453"/>
      <x:c r="E44" s="453"/>
      <x:c r="F44" s="453"/>
      <x:c r="G44" s="579"/>
      <x:c r="H44" s="579"/>
      <x:c r="I44" s="579"/>
      <x:c r="J44" s="579"/>
      <x:c r="K44" s="579"/>
      <x:c r="L44" s="579"/>
      <x:c r="M44" s="579"/>
      <x:c r="N44" s="579"/>
    </x:row>
    <x:row r="45" ht="9" customHeight="1">
      <x:c r="A45" s="4"/>
      <x:c r="B45" s="5"/>
      <x:c r="C45" s="454"/>
      <x:c r="D45" s="453"/>
      <x:c r="E45" s="453"/>
      <x:c r="F45" s="453"/>
      <x:c r="G45" s="579"/>
      <x:c r="H45" s="579"/>
      <x:c r="I45" s="579"/>
      <x:c r="J45" s="579"/>
      <x:c r="K45" s="579"/>
      <x:c r="L45" s="579"/>
      <x:c r="M45" s="579"/>
      <x:c r="N45" s="579"/>
    </x:row>
    <x:row r="46" ht="9" customHeight="1">
      <x:c r="A46" s="4"/>
      <x:c r="B46" s="5"/>
      <x:c r="C46" s="454"/>
      <x:c r="D46" s="453"/>
      <x:c r="E46" s="453"/>
      <x:c r="F46" s="453"/>
      <x:c r="G46" s="579"/>
      <x:c r="H46" s="579"/>
      <x:c r="I46" s="579"/>
      <x:c r="J46" s="579"/>
      <x:c r="K46" s="579"/>
      <x:c r="L46" s="579"/>
      <x:c r="M46" s="579"/>
      <x:c r="N46" s="579"/>
    </x:row>
    <x:row r="47" ht="26.049999237060547" customHeight="1">
      <x:c r="A47" s="4"/>
      <x:c r="B47" s="5"/>
      <x:c r="C47" s="641" t="s">
        <x:v>475</x:v>
      </x:c>
      <x:c r="D47" s="642"/>
      <x:c r="E47" s="642"/>
      <x:c r="F47" s="642"/>
      <x:c r="G47" s="579"/>
      <x:c r="H47" s="579"/>
      <x:c r="I47" s="579"/>
      <x:c r="J47" s="579"/>
      <x:c r="K47" s="579"/>
      <x:c r="L47" s="579"/>
      <x:c r="M47" s="579"/>
      <x:c r="N47" s="579"/>
    </x:row>
    <x:row r="48" ht="34.29999923706055" customHeight="1">
      <x:c r="A48" s="4"/>
      <x:c r="B48" s="5"/>
      <x:c r="C48" s="621" t="str">
        <x:v>READ | The detailed facility budget leads to eligible pre-financing cost, development finance and Total Development Cost. The three-category bridge below groups contingency within hard costs and finance within soft costs.</x:v>
      </x:c>
      <x:c r="D48" s="453"/>
      <x:c r="E48" s="453"/>
      <x:c r="F48" s="453"/>
      <x:c r="G48" s="579"/>
      <x:c r="H48" s="579"/>
      <x:c r="I48" s="579"/>
      <x:c r="J48" s="579"/>
      <x:c r="K48" s="579"/>
      <x:c r="L48" s="579"/>
      <x:c r="M48" s="579"/>
      <x:c r="N48" s="579"/>
    </x:row>
    <x:row r="49" ht="22.200000762939453" customHeight="1">
      <x:c r="A49" s="4"/>
      <x:c r="B49" s="5"/>
      <x:c r="C49" s="621" t="str">
        <x:v>TRACE | Inputs -&gt; Development -&gt; Construction -&gt; Development totals. The original debt advances on eligible cost before finance; interest and fees are equity-funded.</x:v>
      </x:c>
      <x:c r="D49" s="453"/>
      <x:c r="E49" s="453"/>
      <x:c r="F49" s="453"/>
      <x:c r="G49" s="579"/>
      <x:c r="H49" s="579"/>
      <x:c r="I49" s="579"/>
      <x:c r="J49" s="579"/>
      <x:c r="K49" s="579"/>
      <x:c r="L49" s="579"/>
      <x:c r="M49" s="579"/>
      <x:c r="N49" s="579"/>
    </x:row>
    <x:row r="50" ht="22.200000762939453" customHeight="1">
      <x:c r="A50" s="7"/>
      <x:c r="B50" s="8"/>
      <x:c r="C50" s="621" t="s">
        <x:v>476</x:v>
      </x:c>
      <x:c r="D50" s="453"/>
      <x:c r="E50" s="453"/>
      <x:c r="F50" s="453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 ht="25" customHeight="1">
      <x:c r="C60" s="410" t="str">
        <x:v>TOTAL DEVELOPMENT COST | THREE COST CATEGORIES</x:v>
      </x:c>
      <x:c r="D60" s="414"/>
      <x:c r="E60" s="414"/>
      <x:c r="F60" s="414"/>
      <x:c r="G60" s="579"/>
      <x:c r="H60" s="579"/>
      <x:c r="I60" s="579"/>
      <x:c r="J60" s="579"/>
      <x:c r="K60" s="579"/>
      <x:c r="L60" s="579"/>
      <x:c r="M60" s="579"/>
      <x:c r="N60" s="579"/>
    </x:row>
    <x:row r="61" ht="34" customHeight="1">
      <x:c r="C61" s="403" t="str">
        <x:v>Land Cost</x:v>
      </x:c>
      <x:c r="D61" s="417" t="n">
        <x:f>D7</x:f>
        <x:v>48000000</x:v>
      </x:c>
      <x:c r="E61" s="407" t="str">
        <x:v>USD</x:v>
      </x:c>
      <x:c r="F61" s="407" t="str">
        <x:v>Land opportunity cost; cash treatment differs for contributed land.</x:v>
      </x:c>
      <x:c r="G61" s="579"/>
      <x:c r="H61" s="579"/>
      <x:c r="I61" s="579"/>
      <x:c r="J61" s="579"/>
      <x:c r="K61" s="579"/>
      <x:c r="L61" s="579"/>
      <x:c r="M61" s="579"/>
      <x:c r="N61" s="579"/>
    </x:row>
    <x:row r="62" ht="34" customHeight="1">
      <x:c r="C62" s="403" t="str">
        <x:v>Hard Costs incl. contingency</x:v>
      </x:c>
      <x:c r="D62" s="417" t="n">
        <x:f>SUM(D16,D24)</x:f>
        <x:v>130900000</x:v>
      </x:c>
      <x:c r="E62" s="407" t="str">
        <x:v>USD</x:v>
      </x:c>
      <x:c r="F62" s="407" t="str">
        <x:v>Base physical costs plus the construction contingency once.</x:v>
      </x:c>
      <x:c r="G62" s="579"/>
      <x:c r="H62" s="579"/>
      <x:c r="I62" s="579"/>
      <x:c r="J62" s="579"/>
      <x:c r="K62" s="579"/>
      <x:c r="L62" s="579"/>
      <x:c r="M62" s="579"/>
      <x:c r="N62" s="579"/>
    </x:row>
    <x:row r="63" ht="34" customHeight="1">
      <x:c r="C63" s="403" t="str">
        <x:v>Soft Costs incl. finance</x:v>
      </x:c>
      <x:c r="D63" s="417" t="n">
        <x:f>SUM(D20:D23,D30)</x:f>
        <x:v>28828600</x:v>
      </x:c>
      <x:c r="E63" s="407" t="str">
        <x:v>USD</x:v>
      </x:c>
      <x:c r="F63" s="407" t="str">
        <x:v>Other soft costs plus development-period fees and interest.</x:v>
      </x:c>
      <x:c r="G63" s="579"/>
      <x:c r="H63" s="579"/>
      <x:c r="I63" s="579"/>
      <x:c r="J63" s="579"/>
      <x:c r="K63" s="579"/>
      <x:c r="L63" s="579"/>
      <x:c r="M63" s="579"/>
      <x:c r="N63" s="579"/>
    </x:row>
    <x:row r="64" ht="34" customHeight="1">
      <x:c r="C64" s="421" t="str">
        <x:v>TOTAL DEVELOPMENT COST</x:v>
      </x:c>
      <x:c r="D64" s="427" t="n">
        <x:f>SUM(D61:D63)</x:f>
        <x:v>207728600</x:v>
      </x:c>
      <x:c r="E64" s="422" t="str">
        <x:v>USD</x:v>
      </x:c>
      <x:c r="F64" s="422" t="str">
        <x:v>Land + Hard Costs including contingency + Soft Costs including finance.</x:v>
      </x:c>
      <x:c r="G64" s="579"/>
      <x:c r="H64" s="579"/>
      <x:c r="I64" s="579"/>
      <x:c r="J64" s="579"/>
      <x:c r="K64" s="579"/>
      <x:c r="L64" s="579"/>
      <x:c r="M64" s="579"/>
      <x:c r="N64" s="579"/>
    </x:row>
    <x:row r="65" ht="34" customHeight="1">
      <x:c r="C65" s="403" t="str">
        <x:v>Cost bridge reconciliation</x:v>
      </x:c>
      <x:c r="D65" s="417" t="n">
        <x:f>D64-D31</x:f>
        <x:v>0</x:v>
      </x:c>
      <x:c r="E65" s="407" t="str">
        <x:v>USD</x:v>
      </x:c>
      <x:c r="F65" s="407" t="str">
        <x:v>Must equal zero against the existing full development total.</x:v>
      </x:c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403"/>
      <x:c r="D66" s="407"/>
      <x:c r="E66" s="407"/>
      <x:c r="F66" s="407"/>
      <x:c r="G66" s="579"/>
      <x:c r="H66" s="579"/>
      <x:c r="I66" s="579"/>
      <x:c r="J66" s="579"/>
      <x:c r="K66" s="579"/>
      <x:c r="L66" s="579"/>
      <x:c r="M66" s="579"/>
      <x:c r="N66" s="579"/>
    </x:row>
    <x:row r="67" ht="25" customHeight="1">
      <x:c r="C67" s="410" t="str">
        <x:v>DEVELOPMENT YIELD | INCLUDING DEVELOPMENT FINANCE</x:v>
      </x:c>
      <x:c r="D67" s="414"/>
      <x:c r="E67" s="414"/>
      <x:c r="F67" s="414"/>
      <x:c r="G67" s="579"/>
      <x:c r="H67" s="579"/>
      <x:c r="I67" s="579"/>
      <x:c r="J67" s="579"/>
      <x:c r="K67" s="579"/>
      <x:c r="L67" s="579"/>
      <x:c r="M67" s="579"/>
      <x:c r="N67" s="579"/>
    </x:row>
    <x:row r="68" ht="34" customHeight="1">
      <x:c r="C68" s="403" t="str">
        <x:v>Annual stabilized property NOI</x:v>
      </x:c>
      <x:c r="D68" s="417" t="n">
        <x:f>Landlord!D21</x:f>
        <x:v>19750000</x:v>
      </x:c>
      <x:c r="E68" s="407" t="str">
        <x:v>USD / year</x:v>
      </x:c>
      <x:c r="F68" s="407" t="str">
        <x:v>Year 1 is the proxy only because full initial billability is assumed.</x:v>
      </x:c>
      <x:c r="G68" s="579"/>
      <x:c r="H68" s="579"/>
      <x:c r="I68" s="579"/>
      <x:c r="J68" s="579"/>
      <x:c r="K68" s="579"/>
      <x:c r="L68" s="579"/>
      <x:c r="M68" s="579"/>
      <x:c r="N68" s="579"/>
    </x:row>
    <x:row r="69" ht="34" customHeight="1">
      <x:c r="C69" s="403" t="str">
        <x:v>Total Development Cost</x:v>
      </x:c>
      <x:c r="D69" s="417" t="n">
        <x:f>D64</x:f>
        <x:v>207728600</x:v>
      </x:c>
      <x:c r="E69" s="407" t="str">
        <x:v>USD</x:v>
      </x:c>
      <x:c r="F69" s="407" t="str">
        <x:v>Includes land, contingency and development financing costs.</x:v>
      </x:c>
      <x:c r="G69" s="579"/>
      <x:c r="H69" s="579"/>
      <x:c r="I69" s="579"/>
      <x:c r="J69" s="579"/>
      <x:c r="K69" s="579"/>
      <x:c r="L69" s="579"/>
      <x:c r="M69" s="579"/>
      <x:c r="N69" s="579"/>
    </x:row>
    <x:row r="70" ht="34" customHeight="1">
      <x:c r="C70" s="421" t="str">
        <x:v>Development Yield</x:v>
      </x:c>
      <x:c r="D70" s="429" t="n">
        <x:f>D68/D69</x:f>
        <x:v>0.09507597894560499</x:v>
      </x:c>
      <x:c r="E70" s="422" t="str">
        <x:v>percent</x:v>
      </x:c>
      <x:c r="F70" s="422" t="str">
        <x:v>Stabilized NOI / Total Development Cost; not IRR or equity cash yield.</x:v>
      </x:c>
      <x:c r="G70" s="579"/>
      <x:c r="H70" s="579"/>
      <x:c r="I70" s="579"/>
      <x:c r="J70" s="579"/>
      <x:c r="K70" s="579"/>
      <x:c r="L70" s="579"/>
      <x:c r="M70" s="579"/>
      <x:c r="N70" s="579"/>
    </x:row>
    <x:row r="71" ht="34" customHeight="1">
      <x:c r="C71" s="403" t="str">
        <x:v>NOI / cost before finance</x:v>
      </x:c>
      <x:c r="D71" s="431" t="n">
        <x:f>Landlord!D21/D25</x:f>
        <x:v>0.10133401744484351</x:v>
      </x:c>
      <x:c r="E71" s="407" t="str">
        <x:v>percent</x:v>
      </x:c>
      <x:c r="F71" s="407" t="str">
        <x:v>Separate comparator; excludes development finance from the denominator.</x:v>
      </x:c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403"/>
      <x:c r="D72" s="407"/>
      <x:c r="E72" s="407"/>
      <x:c r="F72" s="407"/>
      <x:c r="G72" s="579"/>
      <x:c r="H72" s="579"/>
      <x:c r="I72" s="579"/>
      <x:c r="J72" s="579"/>
      <x:c r="K72" s="579"/>
      <x:c r="L72" s="579"/>
      <x:c r="M72" s="579"/>
      <x:c r="N72" s="579"/>
    </x:row>
    <x:row r="73" ht="35" customHeight="1">
      <x:c r="C73" s="433" t="str">
        <x:v>SCOPE | No tenant GPUs, cloud working capital or unmodeled project costs are inserted into the property budget.</x:v>
      </x:c>
      <x:c r="D73" s="735"/>
      <x:c r="E73" s="735"/>
      <x:c r="F73" s="735"/>
      <x:c r="G73" s="579"/>
      <x:c r="H73" s="579"/>
      <x:c r="I73" s="579"/>
      <x:c r="J73" s="579"/>
      <x:c r="K73" s="579"/>
      <x:c r="L73" s="579"/>
      <x:c r="M73" s="579"/>
      <x:c r="N73" s="579"/>
    </x:row>
    <x:row r="74" ht="35" customHeight="1">
      <x:c r="C74" s="433" t="str">
        <x:v>METHOD | Walker &amp; Dunlop: stabilized NOI / project cost. SEGRO's March 2025 example excludes finance; GII includes finance and labels the difference.</x:v>
      </x:c>
      <x:c r="D74" s="735"/>
      <x:c r="E74" s="735"/>
      <x:c r="F74" s="735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03  |  DEVELOPMENT COST &amp; CAPITAL STACK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does the investor buy, build and finance before rent begins?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Separate land, facility systems, construction finance and tenant-owned computing equipment.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LAND / HARD / SOFT COST</x:v>
      </x:c>
      <x:c r="Q211" s="1047" t="n">
        <x:f>D7</x:f>
        <x:v>48000000</x:v>
      </x:c>
      <x:c r="R211" s="685" t="str"/>
      <x:c r="S211" s="685" t="str"/>
    </x:row>
    <x:row r="212" ht="17.110000610351562" hidden="0" customHeight="1">
      <x:c r="P212" s="509" t="str">
        <x:v>Land Cost</x:v>
      </x:c>
      <x:c r="Q212" s="1036" t="n">
        <x:f>Development!D61</x:f>
        <x:v>48000000</x:v>
      </x:c>
      <x:c r="R212" s="510" t="str">
        <x:v>Development tab</x:v>
      </x:c>
      <x:c r="S212" s="510" t="str">
        <x:v>Economic land value.</x:v>
      </x:c>
    </x:row>
    <x:row r="213" ht="17.110000610351562" hidden="0" customHeight="1">
      <x:c r="P213" s="597" t="str">
        <x:v>Base Hard Costs</x:v>
      </x:c>
      <x:c r="Q213" s="1037" t="n">
        <x:f>Development!D16</x:f>
        <x:v>119000000</x:v>
      </x:c>
      <x:c r="R213" s="599" t="str">
        <x:v>Development tab</x:v>
      </x:c>
      <x:c r="S213" s="599" t="str">
        <x:v>Before construction contingency.</x:v>
      </x:c>
    </x:row>
    <x:row r="214" ht="17.110000610351562" hidden="0" customHeight="1">
      <x:c r="P214" s="509" t="str">
        <x:v>Construction contingency</x:v>
      </x:c>
      <x:c r="Q214" s="1036" t="n">
        <x:f>Development!D24</x:f>
        <x:v>11900000</x:v>
      </x:c>
      <x:c r="R214" s="510" t="str">
        <x:v>Development tab</x:v>
      </x:c>
      <x:c r="S214" s="510" t="str">
        <x:v>10% of base hard costs; counted once.</x:v>
      </x:c>
    </x:row>
    <x:row r="215" ht="17.110000610351562" hidden="0" customHeight="1">
      <x:c r="P215" s="597" t="str">
        <x:v>HARD COSTS — INCL. CONTINGENCY</x:v>
      </x:c>
      <x:c r="Q215" s="1037" t="n">
        <x:f>Development!D62</x:f>
        <x:v>130900000</x:v>
      </x:c>
      <x:c r="R215" s="599" t="str">
        <x:v>Development tab</x:v>
      </x:c>
      <x:c r="S215" s="599" t="str">
        <x:v>Base hard costs + contingency.</x:v>
      </x:c>
    </x:row>
    <x:row r="216" ht="17.110000610351562" hidden="0" customHeight="1">
      <x:c r="P216" s="509" t="str">
        <x:v>Other soft costs</x:v>
      </x:c>
      <x:c r="Q216" s="1159" t="n">
        <x:f>SUM(Development!D20:D23)</x:f>
        <x:v>16000000</x:v>
      </x:c>
      <x:c r="R216" s="510" t="str">
        <x:v>Development tab</x:v>
      </x:c>
      <x:c r="S216" s="510" t="str">
        <x:v>Design, legal, lease/closing and carry.</x:v>
      </x:c>
    </x:row>
    <x:row r="217" ht="17.110000610351562" hidden="0" customHeight="1">
      <x:c r="P217" s="597" t="str">
        <x:v>Development finance</x:v>
      </x:c>
      <x:c r="Q217" s="1037" t="n">
        <x:f>Development!D30</x:f>
        <x:v>12828600.000000002</x:v>
      </x:c>
      <x:c r="R217" s="599" t="str">
        <x:v>Construction tab</x:v>
      </x:c>
      <x:c r="S217" s="599" t="str">
        <x:v>Origination fee + construction interest.</x:v>
      </x:c>
    </x:row>
    <x:row r="218" ht="17.110000610351562" hidden="0" customHeight="1">
      <x:c r="P218" s="509" t="str">
        <x:v>SOFT COSTS — INCL. FINANCE</x:v>
      </x:c>
      <x:c r="Q218" s="1036" t="n">
        <x:f>Development!D63</x:f>
        <x:v>28828600</x:v>
      </x:c>
      <x:c r="R218" s="510" t="str">
        <x:v>Development tab</x:v>
      </x:c>
      <x:c r="S218" s="510" t="str">
        <x:v>Other soft costs + development finance.</x:v>
      </x:c>
    </x:row>
    <x:row r="219" ht="17.110000610351562" hidden="0" customHeight="1">
      <x:c r="P219" s="589" t="str">
        <x:v>TOTAL DEVELOPMENT COST</x:v>
      </x:c>
      <x:c r="Q219" s="1045" t="n">
        <x:f>Development!D64</x:f>
        <x:v>207728600</x:v>
      </x:c>
      <x:c r="R219" s="654" t="str">
        <x:v>Development tab</x:v>
      </x:c>
      <x:c r="S219" s="654" t="str">
        <x:v>Land + Hard Costs + Soft Costs.</x:v>
      </x:c>
    </x:row>
    <x:row r="220" ht="16" hidden="0" customHeight="1">
      <x:c r="P220" s="684" t="str">
        <x:v>FUNDING AND RETURN</x:v>
      </x:c>
      <x:c r="Q220" s="1047"/>
      <x:c r="R220" s="685" t="str"/>
      <x:c r="S220" s="685" t="str"/>
    </x:row>
    <x:row r="221" ht="17.110000610351562" hidden="0" customHeight="1">
      <x:c r="P221" s="597" t="str">
        <x:v>Eligible cost — before finance</x:v>
      </x:c>
      <x:c r="Q221" s="1037" t="n">
        <x:f>Development!D25</x:f>
        <x:v>194900000</x:v>
      </x:c>
      <x:c r="R221" s="599" t="str">
        <x:v>Development tab</x:v>
      </x:c>
      <x:c r="S221" s="599" t="str">
        <x:v>Basis for the 60% loan advance.</x:v>
      </x:c>
    </x:row>
    <x:row r="222" ht="17.110000610351562" hidden="0" customHeight="1">
      <x:c r="P222" s="509" t="str">
        <x:v>Debt principal</x:v>
      </x:c>
      <x:c r="Q222" s="1036" t="n">
        <x:f>Development!D27</x:f>
        <x:v>116940000</x:v>
      </x:c>
      <x:c r="R222" s="510" t="str">
        <x:v>Development tab</x:v>
      </x:c>
      <x:c r="S222" s="510" t="str">
        <x:v>Funding source, not another cost.</x:v>
      </x:c>
    </x:row>
    <x:row r="223" ht="17.110000610351562" hidden="0" customHeight="1">
      <x:c r="P223" s="597" t="str">
        <x:v>Developer equity</x:v>
      </x:c>
      <x:c r="Q223" s="1037" t="n">
        <x:f>Development!D32</x:f>
        <x:v>90788600</x:v>
      </x:c>
      <x:c r="R223" s="599" t="str">
        <x:v>Development tab</x:v>
      </x:c>
      <x:c r="S223" s="599" t="str">
        <x:v>Funds residual cost, fee and interest.</x:v>
      </x:c>
    </x:row>
    <x:row r="224" ht="17.110000610351562" hidden="0" customHeight="1">
      <x:c r="P224" s="509" t="str">
        <x:v>Annual stabilized property NOI</x:v>
      </x:c>
      <x:c r="Q224" s="1036" t="n">
        <x:f>Development!D68</x:f>
        <x:v>19750000</x:v>
      </x:c>
      <x:c r="R224" s="510" t="str">
        <x:v>Landlord tab</x:v>
      </x:c>
      <x:c r="S224" s="510" t="str">
        <x:v>Year 1 proxy; full initial billability.</x:v>
      </x:c>
    </x:row>
    <x:row r="225" ht="30.219999313354492" hidden="0" customHeight="1">
      <x:c r="P225" s="589" t="str">
        <x:v>DEVELOPMENT YIELD — INCL. FINANCE</x:v>
      </x:c>
      <x:c r="Q225" s="661" t="n">
        <x:f>Development!D70</x:f>
        <x:v>0.09507597894560499</x:v>
      </x:c>
      <x:c r="R225" s="654" t="str">
        <x:v>Development tab</x:v>
      </x:c>
      <x:c r="S225" s="654" t="str">
        <x:v>Stabilized NOI / Total Development Cost.</x:v>
      </x:c>
    </x:row>
    <x:row r="226" ht="17.110000610351562" hidden="0" customHeight="1">
      <x:c r="P226" s="509" t="str">
        <x:v>NOI / cost before finance</x:v>
      </x:c>
      <x:c r="Q226" s="611" t="n">
        <x:f>Development!D71</x:f>
        <x:v>0.10133401744484351</x:v>
      </x:c>
      <x:c r="R226" s="510" t="str">
        <x:v>Development tab</x:v>
      </x:c>
      <x:c r="S226" s="510" t="str">
        <x:v>Separate comparison denominator.</x:v>
      </x:c>
    </x:row>
    <x:row r="227" ht="17.110000610351562" hidden="0" customHeight="1">
      <x:c r="P227" s="597" t="str">
        <x:v>Three-category cost check</x:v>
      </x:c>
      <x:c r="Q227" s="1075" t="n">
        <x:f>Development!D65</x:f>
        <x:v>0</x:v>
      </x:c>
      <x:c r="R227" s="599" t="str">
        <x:v>Checks tab</x:v>
      </x:c>
      <x:c r="S227" s="599" t="str">
        <x:v>Zero means cost categories reconcile.</x:v>
      </x:c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Development and Landlord tabs. Cost and yield include development finance.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08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44:F44"/>
    <x:mergeCell ref="C47:F47"/>
    <x:mergeCell ref="C48:F48"/>
    <x:mergeCell ref="C49:F49"/>
    <x:mergeCell ref="C50:F50"/>
    <x:mergeCell ref="C3:F3"/>
    <x:mergeCell ref="C4:F4"/>
    <x:mergeCell ref="C5:F5"/>
    <x:mergeCell ref="C40:F40"/>
    <x:mergeCell ref="C42:F42"/>
    <x:mergeCell ref="C60:F60"/>
    <x:mergeCell ref="C67:F67"/>
    <x:mergeCell ref="C73:F73"/>
    <x:mergeCell ref="C74:F74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0:S220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9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477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478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479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tr">
        <x:v>LAND / HARD / SOFT COST BRIDGE</x:v>
      </x:c>
      <x:c r="D11" s="977"/>
      <x:c r="E11" s="642" t="str"/>
      <x:c r="F11" s="642" t="str"/>
      <x:c r="G11" s="579"/>
      <x:c r="H11" s="579"/>
      <x:c r="I11" s="579"/>
      <x:c r="J11" s="579"/>
      <x:c r="K11" s="579"/>
      <x:c r="L11" s="579"/>
      <x:c r="M11" s="579"/>
      <x:c r="N11" s="579"/>
    </x:row>
    <x:row r="12" ht="28" customHeight="1">
      <x:c r="A12" s="4"/>
      <x:c r="B12" s="5"/>
      <x:c r="C12" s="451" t="str">
        <x:v>Land Cost</x:v>
      </x:c>
      <x:c r="D12" s="913" t="n">
        <x:f>Development!D61</x:f>
        <x:v>48000000</x:v>
      </x:c>
      <x:c r="E12" s="450" t="str">
        <x:v>Development</x:v>
      </x:c>
      <x:c r="F12" s="450" t="str">
        <x:v>Economic land value; not zero when contributed.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8" customHeight="1">
      <x:c r="A13" s="4"/>
      <x:c r="B13" s="5"/>
      <x:c r="C13" s="454" t="str">
        <x:v>Base Hard Costs</x:v>
      </x:c>
      <x:c r="D13" s="901" t="n">
        <x:f>Development!D16</x:f>
        <x:v>119000000</x:v>
      </x:c>
      <x:c r="E13" s="453" t="str">
        <x:v>Development</x:v>
      </x:c>
      <x:c r="F13" s="453" t="str">
        <x:v>Excludes construction contingency.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8" customHeight="1">
      <x:c r="A14" s="4"/>
      <x:c r="B14" s="5"/>
      <x:c r="C14" s="451" t="str">
        <x:v>Construction contingency</x:v>
      </x:c>
      <x:c r="D14" s="913" t="n">
        <x:f>Development!D24</x:f>
        <x:v>11900000</x:v>
      </x:c>
      <x:c r="E14" s="450" t="str">
        <x:v>Development</x:v>
      </x:c>
      <x:c r="F14" s="450" t="str">
        <x:v>10% of base physical facility costs.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8" customHeight="1">
      <x:c r="A15" s="4"/>
      <x:c r="B15" s="5"/>
      <x:c r="C15" s="459" t="str">
        <x:v>HARD COSTS — INCL. CONTINGENCY</x:v>
      </x:c>
      <x:c r="D15" s="999" t="n">
        <x:f>Development!D62</x:f>
        <x:v>130900000</x:v>
      </x:c>
      <x:c r="E15" s="461" t="str">
        <x:v>Development</x:v>
      </x:c>
      <x:c r="F15" s="461" t="str">
        <x:v>Base hard costs + contingency, counted once.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8" customHeight="1">
      <x:c r="A16" s="4"/>
      <x:c r="B16" s="5"/>
      <x:c r="C16" s="451" t="str">
        <x:v>Other soft costs</x:v>
      </x:c>
      <x:c r="D16" s="913" t="n">
        <x:f>SUM(Development!D20:D23)</x:f>
        <x:v>16000000</x:v>
      </x:c>
      <x:c r="E16" s="450" t="str">
        <x:v>Development</x:v>
      </x:c>
      <x:c r="F16" s="450" t="str">
        <x:v>Design, legal, lease/closing, construction carry.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8" customHeight="1">
      <x:c r="A17" s="4"/>
      <x:c r="B17" s="5"/>
      <x:c r="C17" s="454" t="str">
        <x:v>Origination fee</x:v>
      </x:c>
      <x:c r="D17" s="901" t="n">
        <x:f>Development!D28</x:f>
        <x:v>1169400</x:v>
      </x:c>
      <x:c r="E17" s="453" t="str">
        <x:v>Development</x:v>
      </x:c>
      <x:c r="F17" s="453" t="str">
        <x:v>Development finance; equity-funded.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8" customHeight="1">
      <x:c r="A18" s="4"/>
      <x:c r="B18" s="5"/>
      <x:c r="C18" s="451" t="str">
        <x:v>Construction interest</x:v>
      </x:c>
      <x:c r="D18" s="913" t="n">
        <x:f>Development!D29</x:f>
        <x:v>11659200.000000002</x:v>
      </x:c>
      <x:c r="E18" s="450" t="str">
        <x:v>Construction</x:v>
      </x:c>
      <x:c r="F18" s="450" t="str">
        <x:v>Development finance; 24-month draw schedule.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8" customHeight="1">
      <x:c r="A19" s="4"/>
      <x:c r="B19" s="5"/>
      <x:c r="C19" s="459" t="str">
        <x:v>SOFT COSTS — INCL. FINANCE</x:v>
      </x:c>
      <x:c r="D19" s="999" t="n">
        <x:f>Development!D63</x:f>
        <x:v>28828600</x:v>
      </x:c>
      <x:c r="E19" s="461" t="str">
        <x:v>Development</x:v>
      </x:c>
      <x:c r="F19" s="461" t="str">
        <x:v>Other soft costs + fee + construction interest.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8" customHeight="1">
      <x:c r="A20" s="4"/>
      <x:c r="B20" s="5"/>
      <x:c r="C20" s="459" t="str">
        <x:v>TOTAL DEVELOPMENT COST</x:v>
      </x:c>
      <x:c r="D20" s="999" t="n">
        <x:f>Development!D64</x:f>
        <x:v>207728600</x:v>
      </x:c>
      <x:c r="E20" s="461" t="str">
        <x:v>Development</x:v>
      </x:c>
      <x:c r="F20" s="461" t="str">
        <x:v>Land + hard incl. contingency + soft incl. finance.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5" customHeight="1">
      <x:c r="A21" s="4"/>
      <x:c r="B21" s="5"/>
      <x:c r="C21" s="641" t="str">
        <x:v>FUNDING, YIELD AND COST NORMALIZATION</x:v>
      </x:c>
      <x:c r="D21" s="977"/>
      <x:c r="E21" s="642" t="str"/>
      <x:c r="F21" s="642" t="str"/>
      <x:c r="G21" s="579"/>
      <x:c r="H21" s="579"/>
      <x:c r="I21" s="579"/>
      <x:c r="J21" s="579"/>
      <x:c r="K21" s="579"/>
      <x:c r="L21" s="579"/>
      <x:c r="M21" s="579"/>
      <x:c r="N21" s="579"/>
    </x:row>
    <x:row r="22" ht="28" customHeight="1">
      <x:c r="A22" s="4"/>
      <x:c r="B22" s="5"/>
      <x:c r="C22" s="451" t="str">
        <x:v>Eligible cost — before finance</x:v>
      </x:c>
      <x:c r="D22" s="913" t="n">
        <x:f>Development!D25</x:f>
        <x:v>194900000</x:v>
      </x:c>
      <x:c r="E22" s="450" t="str">
        <x:v>Development</x:v>
      </x:c>
      <x:c r="F22" s="450" t="str">
        <x:v>Loan advance denominator; not full cost.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8" customHeight="1">
      <x:c r="A23" s="4"/>
      <x:c r="B23" s="5"/>
      <x:c r="C23" s="454" t="str">
        <x:v>Debt principal</x:v>
      </x:c>
      <x:c r="D23" s="901" t="n">
        <x:f>Development!D27</x:f>
        <x:v>116940000</x:v>
      </x:c>
      <x:c r="E23" s="453" t="str">
        <x:v>Development</x:v>
      </x:c>
      <x:c r="F23" s="453" t="str">
        <x:v>Funding source; 60% of eligible cost.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8" customHeight="1">
      <x:c r="A24" s="4"/>
      <x:c r="B24" s="5"/>
      <x:c r="C24" s="451" t="str">
        <x:v>Developer equity</x:v>
      </x:c>
      <x:c r="D24" s="913" t="n">
        <x:f>Development!D32</x:f>
        <x:v>90788600</x:v>
      </x:c>
      <x:c r="E24" s="450" t="str">
        <x:v>Development</x:v>
      </x:c>
      <x:c r="F24" s="450" t="str">
        <x:v>Residual funding including fee and interest.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8" customHeight="1">
      <x:c r="A25" s="4"/>
      <x:c r="B25" s="5"/>
      <x:c r="C25" s="454" t="str">
        <x:v>Debt / Total Development Cost</x:v>
      </x:c>
      <x:c r="D25" s="468" t="n">
        <x:f>Development!D34</x:f>
        <x:v>0.5629460748303315</x:v>
      </x:c>
      <x:c r="E25" s="453" t="str">
        <x:v>Development</x:v>
      </x:c>
      <x:c r="F25" s="453" t="str">
        <x:v>Actual debt share of the full cost denominator.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8" customHeight="1">
      <x:c r="A26" s="4"/>
      <x:c r="B26" s="5"/>
      <x:c r="C26" s="451" t="str">
        <x:v>Annual stabilized property NOI</x:v>
      </x:c>
      <x:c r="D26" s="913" t="n">
        <x:f>Landlord!D21</x:f>
        <x:v>19750000</x:v>
      </x:c>
      <x:c r="E26" s="450" t="str">
        <x:v>Landlord</x:v>
      </x:c>
      <x:c r="F26" s="450" t="str">
        <x:v>Year 1 proxy: full initial billability.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8" customHeight="1">
      <x:c r="A27" s="4"/>
      <x:c r="B27" s="5"/>
      <x:c r="C27" s="459" t="str">
        <x:v>DEVELOPMENT YIELD — INCL. FINANCE</x:v>
      </x:c>
      <x:c r="D27" s="470" t="n">
        <x:f>Development!D70</x:f>
        <x:v>0.09507597894560499</x:v>
      </x:c>
      <x:c r="E27" s="461" t="str">
        <x:v>Development / Landlord</x:v>
      </x:c>
      <x:c r="F27" s="461" t="str">
        <x:v>Stabilized annual NOI / Total Development Cost.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8" customHeight="1">
      <x:c r="A28" s="4"/>
      <x:c r="B28" s="5"/>
      <x:c r="C28" s="451" t="str">
        <x:v>NOI / cost before finance</x:v>
      </x:c>
      <x:c r="D28" s="472" t="n">
        <x:f>Development!D71</x:f>
        <x:v>0.10133401744484351</x:v>
      </x:c>
      <x:c r="E28" s="450" t="str">
        <x:v>Development / Landlord</x:v>
      </x:c>
      <x:c r="F28" s="450" t="str">
        <x:v>Separate comparison; not the primary yield.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8" customHeight="1">
      <x:c r="A29" s="4"/>
      <x:c r="B29" s="5"/>
      <x:c r="C29" s="454" t="str">
        <x:v>Total Development Cost / IT MW</x:v>
      </x:c>
      <x:c r="D29" s="901" t="n">
        <x:f>Development!D35</x:f>
        <x:v>20772860</x:v>
      </x:c>
      <x:c r="E29" s="453" t="str">
        <x:v>Development</x:v>
      </x:c>
      <x:c r="F29" s="453" t="str">
        <x:v>Includes land and development finance.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8" customHeight="1">
      <x:c r="A30" s="4"/>
      <x:c r="B30" s="5"/>
      <x:c r="C30" s="451" t="str">
        <x:v>Total Development Cost / gross SF</x:v>
      </x:c>
      <x:c r="D30" s="480" t="n">
        <x:f>Development!D36</x:f>
        <x:v>2077.286</x:v>
      </x:c>
      <x:c r="E30" s="450" t="str">
        <x:v>Development</x:v>
      </x:c>
      <x:c r="F30" s="450" t="str">
        <x:v>Not a warehouse-shell cost comparison.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28" customHeight="1">
      <x:c r="A31" s="4"/>
      <x:c r="B31" s="5"/>
      <x:c r="C31" s="454" t="str">
        <x:v>Sources less uses check</x:v>
      </x:c>
      <x:c r="D31" s="883" t="n">
        <x:f>Development!D33</x:f>
        <x:v>0</x:v>
      </x:c>
      <x:c r="E31" s="453" t="str">
        <x:v>Development</x:v>
      </x:c>
      <x:c r="F31" s="453" t="str">
        <x:v>Zero confirms funding arithmetic.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28" customHeight="1">
      <x:c r="A32" s="4"/>
      <x:c r="B32" s="5"/>
      <x:c r="C32" s="451" t="str">
        <x:v>ASSET BOUNDARY</x:v>
      </x:c>
      <x:c r="D32" s="1000"/>
      <x:c r="E32" s="450" t="str"/>
      <x:c r="F32" s="450" t="str">
        <x:v>Property facility only; no tenant GPUs.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9" customHeight="1">
      <x:c r="A33" s="4"/>
      <x:c r="B33" s="5"/>
      <x:c r="C33" s="454"/>
      <x:c r="D33" s="979"/>
      <x:c r="E33" s="453"/>
      <x:c r="F33" s="453"/>
      <x:c r="G33" s="579"/>
      <x:c r="H33" s="579"/>
      <x:c r="I33" s="579"/>
      <x:c r="J33" s="579"/>
      <x:c r="K33" s="579"/>
      <x:c r="L33" s="579"/>
      <x:c r="M33" s="579"/>
      <x:c r="N33" s="579"/>
    </x:row>
    <x:row r="34" ht="22.200000762939453" customHeight="1">
      <x:c r="A34" s="7"/>
      <x:c r="B34" s="8"/>
      <x:c r="C34" s="621" t="s">
        <x:v>233</x:v>
      </x:c>
      <x:c r="D34" s="979"/>
      <x:c r="E34" s="453"/>
      <x:c r="F34" s="453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03  |  DEVELOPMENT COST &amp; CAPITAL STACK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does the investor buy, build and finance before rent begins?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Separate land, facility systems, construction finance and tenant-owned computing equipment.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LAND / HARD / SOFT COST BRIDGE</x:v>
      </x:c>
      <x:c r="Q211" s="1047"/>
      <x:c r="R211" s="685" t="str"/>
      <x:c r="S211" s="685" t="str"/>
    </x:row>
    <x:row r="212" ht="17.110000610351562" hidden="0" customHeight="1">
      <x:c r="P212" s="509" t="str">
        <x:v>Land Cost</x:v>
      </x:c>
      <x:c r="Q212" s="1036" t="n">
        <x:f>E03_Development!D12</x:f>
        <x:v>48000000</x:v>
      </x:c>
      <x:c r="R212" s="510" t="str">
        <x:v>Development</x:v>
      </x:c>
      <x:c r="S212" s="510" t="str">
        <x:v>Economic land value; not zero when contributed.</x:v>
      </x:c>
    </x:row>
    <x:row r="213" ht="17.110000610351562" hidden="0" customHeight="1">
      <x:c r="P213" s="597" t="str">
        <x:v>Base Hard Costs</x:v>
      </x:c>
      <x:c r="Q213" s="1037" t="n">
        <x:f>E03_Development!D13</x:f>
        <x:v>119000000</x:v>
      </x:c>
      <x:c r="R213" s="599" t="str">
        <x:v>Development</x:v>
      </x:c>
      <x:c r="S213" s="599" t="str">
        <x:v>Excludes construction contingency.</x:v>
      </x:c>
    </x:row>
    <x:row r="214" ht="17.110000610351562" hidden="0" customHeight="1">
      <x:c r="P214" s="509" t="str">
        <x:v>Construction contingency</x:v>
      </x:c>
      <x:c r="Q214" s="1036" t="n">
        <x:f>E03_Development!D14</x:f>
        <x:v>11900000</x:v>
      </x:c>
      <x:c r="R214" s="510" t="str">
        <x:v>Development</x:v>
      </x:c>
      <x:c r="S214" s="510" t="str">
        <x:v>10% of base physical facility costs.</x:v>
      </x:c>
    </x:row>
    <x:row r="215" ht="17.110000610351562" hidden="0" customHeight="1">
      <x:c r="P215" s="597" t="str">
        <x:v>HARD COSTS — INCL. CONTINGENCY</x:v>
      </x:c>
      <x:c r="Q215" s="1037" t="n">
        <x:f>E03_Development!D15</x:f>
        <x:v>130900000</x:v>
      </x:c>
      <x:c r="R215" s="599" t="str">
        <x:v>Development</x:v>
      </x:c>
      <x:c r="S215" s="599" t="str">
        <x:v>Base hard costs + contingency, counted once.</x:v>
      </x:c>
    </x:row>
    <x:row r="216" ht="17.110000610351562" hidden="0" customHeight="1">
      <x:c r="P216" s="509" t="str">
        <x:v>Other soft costs</x:v>
      </x:c>
      <x:c r="Q216" s="1036" t="n">
        <x:f>E03_Development!D16</x:f>
        <x:v>16000000</x:v>
      </x:c>
      <x:c r="R216" s="510" t="str">
        <x:v>Development</x:v>
      </x:c>
      <x:c r="S216" s="510" t="str">
        <x:v>Design, legal, lease/closing, construction carry.</x:v>
      </x:c>
    </x:row>
    <x:row r="217" ht="17.110000610351562" hidden="0" customHeight="1">
      <x:c r="P217" s="597" t="str">
        <x:v>Origination fee</x:v>
      </x:c>
      <x:c r="Q217" s="1037" t="n">
        <x:f>E03_Development!D17</x:f>
        <x:v>1169400</x:v>
      </x:c>
      <x:c r="R217" s="599" t="str">
        <x:v>Development</x:v>
      </x:c>
      <x:c r="S217" s="599" t="str">
        <x:v>Development finance; equity-funded.</x:v>
      </x:c>
    </x:row>
    <x:row r="218" ht="17.110000610351562" hidden="0" customHeight="1">
      <x:c r="P218" s="509" t="str">
        <x:v>Construction interest</x:v>
      </x:c>
      <x:c r="Q218" s="1036" t="n">
        <x:f>E03_Development!D18</x:f>
        <x:v>11659200.000000002</x:v>
      </x:c>
      <x:c r="R218" s="510" t="str">
        <x:v>Construction</x:v>
      </x:c>
      <x:c r="S218" s="510" t="str">
        <x:v>Development finance; 24-month draw schedule.</x:v>
      </x:c>
    </x:row>
    <x:row r="219" ht="17.110000610351562" hidden="0" customHeight="1">
      <x:c r="P219" s="597" t="str">
        <x:v>SOFT COSTS — INCL. FINANCE</x:v>
      </x:c>
      <x:c r="Q219" s="1037" t="n">
        <x:f>E03_Development!D19</x:f>
        <x:v>28828600</x:v>
      </x:c>
      <x:c r="R219" s="599" t="str">
        <x:v>Development</x:v>
      </x:c>
      <x:c r="S219" s="599" t="str">
        <x:v>Other soft costs + fee + construction interest.</x:v>
      </x:c>
    </x:row>
    <x:row r="220" ht="17.110000610351562" hidden="0" customHeight="1">
      <x:c r="P220" s="589" t="str">
        <x:v>TOTAL DEVELOPMENT COST</x:v>
      </x:c>
      <x:c r="Q220" s="1045" t="n">
        <x:f>E03_Development!D20</x:f>
        <x:v>207728600</x:v>
      </x:c>
      <x:c r="R220" s="654" t="str">
        <x:v>Development</x:v>
      </x:c>
      <x:c r="S220" s="654" t="str">
        <x:v>Land + hard incl. contingency + soft incl. finance.</x:v>
      </x:c>
    </x:row>
    <x:row r="221" ht="16" hidden="0" customHeight="1">
      <x:c r="P221" s="684" t="str">
        <x:v>FUNDING, YIELD AND COST NORMALIZATION</x:v>
      </x:c>
      <x:c r="Q221" s="1047"/>
      <x:c r="R221" s="685" t="str"/>
      <x:c r="S221" s="685" t="str"/>
    </x:row>
    <x:row r="222" ht="17.110000610351562" hidden="0" customHeight="1">
      <x:c r="P222" s="509" t="str">
        <x:v>Eligible cost — before finance</x:v>
      </x:c>
      <x:c r="Q222" s="1036" t="n">
        <x:f>E03_Development!D22</x:f>
        <x:v>194900000</x:v>
      </x:c>
      <x:c r="R222" s="510" t="str">
        <x:v>Development</x:v>
      </x:c>
      <x:c r="S222" s="510" t="str">
        <x:v>Loan advance denominator; not full cost.</x:v>
      </x:c>
    </x:row>
    <x:row r="223" ht="17.110000610351562" hidden="0" customHeight="1">
      <x:c r="P223" s="597" t="str">
        <x:v>Debt principal</x:v>
      </x:c>
      <x:c r="Q223" s="1037" t="n">
        <x:f>E03_Development!D23</x:f>
        <x:v>116940000</x:v>
      </x:c>
      <x:c r="R223" s="599" t="str">
        <x:v>Development</x:v>
      </x:c>
      <x:c r="S223" s="599" t="str">
        <x:v>Funding source; 60% of eligible cost.</x:v>
      </x:c>
    </x:row>
    <x:row r="224" ht="17.110000610351562" hidden="0" customHeight="1">
      <x:c r="P224" s="509" t="str">
        <x:v>Developer equity</x:v>
      </x:c>
      <x:c r="Q224" s="1036" t="n">
        <x:f>E03_Development!D24</x:f>
        <x:v>90788600</x:v>
      </x:c>
      <x:c r="R224" s="510" t="str">
        <x:v>Development</x:v>
      </x:c>
      <x:c r="S224" s="510" t="str">
        <x:v>Residual funding including fee and interest.</x:v>
      </x:c>
    </x:row>
    <x:row r="225" ht="17.110000610351562" hidden="0" customHeight="1">
      <x:c r="P225" s="589" t="str">
        <x:v>Debt / Total Development Cost</x:v>
      </x:c>
      <x:c r="Q225" s="661" t="n">
        <x:f>E03_Development!D25</x:f>
        <x:v>0.5629460748303315</x:v>
      </x:c>
      <x:c r="R225" s="654" t="str">
        <x:v>Development</x:v>
      </x:c>
      <x:c r="S225" s="654" t="str">
        <x:v>Actual debt share of the full cost denominator.</x:v>
      </x:c>
    </x:row>
    <x:row r="226" ht="17.110000610351562" hidden="0" customHeight="1">
      <x:c r="P226" s="509" t="str">
        <x:v>Annual stabilized property NOI</x:v>
      </x:c>
      <x:c r="Q226" s="1036" t="n">
        <x:f>E03_Development!D26</x:f>
        <x:v>19750000</x:v>
      </x:c>
      <x:c r="R226" s="510" t="str">
        <x:v>Landlord</x:v>
      </x:c>
      <x:c r="S226" s="510" t="str">
        <x:v>Year 1 proxy: full initial billability.</x:v>
      </x:c>
    </x:row>
    <x:row r="227" ht="30.219999313354492" hidden="0" customHeight="1">
      <x:c r="P227" s="589" t="str">
        <x:v>Development Yield (Year 1)</x:v>
      </x:c>
      <x:c r="Q227" s="661" t="n">
        <x:f>E03_Development!D27</x:f>
        <x:v>0.09507597894560499</x:v>
      </x:c>
      <x:c r="R227" s="654" t="str">
        <x:v>Development / Landlord</x:v>
      </x:c>
      <x:c r="S227" s="654" t="str">
        <x:v>Stabilized annual NOI / Total Development Cost.</x:v>
      </x:c>
    </x:row>
    <x:row r="228" ht="17.110000610351562" hidden="0" customHeight="1">
      <x:c r="P228" s="509" t="str">
        <x:v>NOI / cost before finance</x:v>
      </x:c>
      <x:c r="Q228" s="611" t="n">
        <x:f>E03_Development!D28</x:f>
        <x:v>0.10133401744484351</x:v>
      </x:c>
      <x:c r="R228" s="510" t="str">
        <x:v>Development / Landlord</x:v>
      </x:c>
      <x:c r="S228" s="510" t="str">
        <x:v>Separate comparison; not the primary yield.</x:v>
      </x:c>
    </x:row>
    <x:row r="229" ht="17.110000610351562" hidden="0" customHeight="1">
      <x:c r="P229" s="589" t="str">
        <x:v>Total Development Cost / IT MW</x:v>
      </x:c>
      <x:c r="Q229" s="1045" t="n">
        <x:f>E03_Development!D29</x:f>
        <x:v>20772860</x:v>
      </x:c>
      <x:c r="R229" s="654" t="str">
        <x:v>Development</x:v>
      </x:c>
      <x:c r="S229" s="654" t="str">
        <x:v>Includes land and development finance.</x:v>
      </x:c>
    </x:row>
    <x:row r="230" ht="17.110000610351562" hidden="0" customHeight="1">
      <x:c r="P230" s="589" t="str">
        <x:v>Total Development Cost / gross SF</x:v>
      </x:c>
      <x:c r="Q230" s="865" t="n">
        <x:f>E03_Development!D30</x:f>
        <x:v>2077.286</x:v>
      </x:c>
      <x:c r="R230" s="654" t="str">
        <x:v>Development</x:v>
      </x:c>
      <x:c r="S230" s="654" t="str">
        <x:v>Not a warehouse-shell cost comparison.</x:v>
      </x:c>
    </x:row>
    <x:row r="231" ht="17.110000610351562" hidden="0" customHeight="1">
      <x:c r="P231" s="597" t="str">
        <x:v>Sources less uses check</x:v>
      </x:c>
      <x:c r="Q231" s="1075" t="n">
        <x:f>E03_Development!D31</x:f>
        <x:v>0</x:v>
      </x:c>
      <x:c r="R231" s="599" t="str">
        <x:v>Development</x:v>
      </x:c>
      <x:c r="S231" s="599" t="str">
        <x:v>Zero confirms funding arithmetic.</x:v>
      </x:c>
    </x:row>
    <x:row r="232" ht="16" hidden="0" customHeight="1">
      <x:c r="P232" s="684" t="str">
        <x:v>ASSET BOUNDARY | Property facility only; no tenant GPUs.</x:v>
      </x:c>
      <x:c r="Q232" s="1047"/>
      <x:c r="R232" s="685" t="str"/>
      <x:c r="S232" s="685" t="str">
        <x:v>Property facility only; no tenant GPUs.</x:v>
      </x:c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Development and Landlord tabs. Cost and yield include development finance.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09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4:F34"/>
    <x:mergeCell ref="C3:D3"/>
    <x:mergeCell ref="C4:F4"/>
    <x:mergeCell ref="C5:F5"/>
    <x:mergeCell ref="C7:F7"/>
    <x:mergeCell ref="C11:F11"/>
    <x:mergeCell ref="C21:F21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1:S221"/>
    <x:mergeCell ref="P232:S23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0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10.23046875" customWidth="1"/>
    <x:col min="4" max="4" width="16.84375" customWidth="1"/>
    <x:col min="5" max="5" width="16.23046875" customWidth="1"/>
    <x:col min="6" max="6" width="16.84375" customWidth="1"/>
    <x:col min="7" max="7" width="16.23046875" customWidth="1"/>
    <x:col min="8" max="8" width="15" customWidth="1"/>
    <x:col min="9" max="9" width="18.15234375" customWidth="1"/>
    <x:col min="10" max="10" width="17.4609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2"/>
      <x:c r="H1" s="2"/>
      <x:c r="I1" s="2"/>
      <x:c r="J1" s="3"/>
    </x:row>
    <x:row r="2" ht="12" customHeight="1">
      <x:c r="A2" s="4"/>
      <x:c r="B2" s="5"/>
      <x:c r="C2" s="5"/>
      <x:c r="D2" s="5"/>
      <x:c r="E2" s="5"/>
      <x:c r="F2" s="5"/>
      <x:c r="G2" s="5"/>
      <x:c r="H2" s="5"/>
      <x:c r="I2" s="5"/>
      <x:c r="J2" s="6"/>
    </x:row>
    <x:row r="3" ht="34" customHeight="1">
      <x:c r="A3" s="4"/>
      <x:c r="B3" s="5"/>
      <x:c r="C3" s="617" t="s">
        <x:v>480</x:v>
      </x:c>
      <x:c r="D3" s="618"/>
      <x:c r="E3" s="618"/>
      <x:c r="F3" s="618"/>
      <x:c r="G3" s="618"/>
      <x:c r="H3" s="618"/>
      <x:c r="I3" s="618"/>
      <x:c r="J3" s="618"/>
      <x:c r="K3" s="556"/>
      <x:c r="L3" s="556"/>
      <x:c r="M3" s="556"/>
      <x:c r="N3" s="556"/>
    </x:row>
    <x:row r="4" ht="34.29999923706055" customHeight="1">
      <x:c r="A4" s="4"/>
      <x:c r="B4" s="5"/>
      <x:c r="C4" s="631" t="s">
        <x:v>481</x:v>
      </x:c>
      <x:c r="D4" s="569"/>
      <x:c r="E4" s="569"/>
      <x:c r="F4" s="569"/>
      <x:c r="G4" s="569"/>
      <x:c r="H4" s="569"/>
      <x:c r="I4" s="569"/>
      <x:c r="J4" s="569"/>
      <x:c r="K4" s="556"/>
      <x:c r="L4" s="556"/>
      <x:c r="M4" s="556"/>
      <x:c r="N4" s="556"/>
    </x:row>
    <x:row r="5" ht="36" customHeight="1">
      <x:c r="A5" s="4"/>
      <x:c r="B5" s="5"/>
      <x:c r="C5" s="632" t="s">
        <x:v>482</x:v>
      </x:c>
      <x:c r="D5" s="633"/>
      <x:c r="E5" s="633"/>
      <x:c r="F5" s="633"/>
      <x:c r="G5" s="633"/>
      <x:c r="H5" s="633"/>
      <x:c r="I5" s="633"/>
      <x:c r="J5" s="633"/>
      <x:c r="K5" s="556"/>
      <x:c r="L5" s="556"/>
      <x:c r="M5" s="556"/>
      <x:c r="N5" s="556"/>
    </x:row>
    <x:row r="6" ht="34" customHeight="1">
      <x:c r="A6" s="4"/>
      <x:c r="B6" s="5"/>
      <x:c r="C6" s="622" t="s">
        <x:v>483</x:v>
      </x:c>
      <x:c r="D6" s="623" t="s">
        <x:v>484</x:v>
      </x:c>
      <x:c r="E6" s="623" t="s">
        <x:v>485</x:v>
      </x:c>
      <x:c r="F6" s="623" t="s">
        <x:v>486</x:v>
      </x:c>
      <x:c r="G6" s="623" t="s">
        <x:v>487</x:v>
      </x:c>
      <x:c r="H6" s="623" t="s">
        <x:v>488</x:v>
      </x:c>
      <x:c r="I6" s="623" t="s">
        <x:v>489</x:v>
      </x:c>
      <x:c r="J6" s="623" t="s">
        <x:v>490</x:v>
      </x:c>
      <x:c r="K6" s="556"/>
      <x:c r="L6" s="556"/>
      <x:c r="M6" s="556"/>
      <x:c r="N6" s="556"/>
    </x:row>
    <x:row r="7" ht="22.75" customHeight="1">
      <x:c r="A7" s="4"/>
      <x:c r="B7" s="5"/>
      <x:c r="C7" s="927">
        <x:v>0</x:v>
      </x:c>
      <x:c r="D7" s="901" t="n">
        <x:f>Development!D7</x:f>
        <x:v>48000000</x:v>
      </x:c>
      <x:c r="E7" s="901" t="n">
        <x:f>D7*Inputs!$D$31</x:f>
        <x:v>28800000</x:v>
      </x:c>
      <x:c r="F7" s="897" t="n">
        <x:f>0</x:f>
        <x:v>0</x:v>
      </x:c>
      <x:c r="G7" s="931" t="n">
        <x:f>0</x:f>
        <x:v>0</x:v>
      </x:c>
      <x:c r="H7" s="901" t="n">
        <x:f>Development!D28</x:f>
        <x:v>1169400</x:v>
      </x:c>
      <x:c r="I7" s="897" t="n">
        <x:f>SUM(D7,G7,H7)-E7</x:f>
        <x:v>20369400</x:v>
      </x:c>
      <x:c r="J7" s="897" t="n">
        <x:f>SUM(E7:F7)</x:f>
        <x:v>28800000</x:v>
      </x:c>
      <x:c r="K7" s="579"/>
      <x:c r="L7" s="579"/>
      <x:c r="M7" s="579"/>
      <x:c r="N7" s="579"/>
    </x:row>
    <x:row r="8" ht="22.75" customHeight="1">
      <x:c r="A8" s="4"/>
      <x:c r="B8" s="5"/>
      <x:c r="C8" s="928">
        <x:v>1</x:v>
      </x:c>
      <x:c r="D8" s="913" t="n">
        <x:f>(Development!$D$25-Development!$D$7)/Inputs!$D$12</x:f>
        <x:v>6120833.333333333</x:v>
      </x:c>
      <x:c r="E8" s="913" t="n">
        <x:f>D8*Inputs!$D$31</x:f>
        <x:v>3672499.9999999995</x:v>
      </x:c>
      <x:c r="F8" s="895" t="n">
        <x:f>J7</x:f>
        <x:v>28800000</x:v>
      </x:c>
      <x:c r="G8" s="932" t="n">
        <x:f>(F8+E8/2)*Inputs!$D$32/Inputs!$D$16</x:f>
        <x:v>204241.66666666666</x:v>
      </x:c>
      <x:c r="H8" s="895" t="n">
        <x:f>0</x:f>
        <x:v>0</x:v>
      </x:c>
      <x:c r="I8" s="895" t="n">
        <x:f>SUM(D8,G8,H8)-E8</x:f>
        <x:v>2652575.0000000005</x:v>
      </x:c>
      <x:c r="J8" s="895" t="n">
        <x:f>SUM(E8:F8)</x:f>
        <x:v>32472500</x:v>
      </x:c>
      <x:c r="K8" s="579"/>
      <x:c r="L8" s="579"/>
      <x:c r="M8" s="579"/>
      <x:c r="N8" s="579"/>
    </x:row>
    <x:row r="9" ht="22.75" customHeight="1">
      <x:c r="A9" s="4"/>
      <x:c r="B9" s="5"/>
      <x:c r="C9" s="927">
        <x:v>2</x:v>
      </x:c>
      <x:c r="D9" s="901" t="n">
        <x:f>(Development!$D$25-Development!$D$7)/Inputs!$D$12</x:f>
        <x:v>6120833.333333333</x:v>
      </x:c>
      <x:c r="E9" s="901" t="n">
        <x:f>D9*Inputs!$D$31</x:f>
        <x:v>3672499.9999999995</x:v>
      </x:c>
      <x:c r="F9" s="897" t="n">
        <x:f>J8</x:f>
        <x:v>32472500</x:v>
      </x:c>
      <x:c r="G9" s="933" t="n">
        <x:f>(F9+E9/2)*Inputs!$D$32/Inputs!$D$16</x:f>
        <x:v>228725</x:v>
      </x:c>
      <x:c r="H9" s="897" t="n">
        <x:f>0</x:f>
        <x:v>0</x:v>
      </x:c>
      <x:c r="I9" s="897" t="n">
        <x:f>SUM(D9,G9,H9)-E9</x:f>
        <x:v>2677058.3333333335</x:v>
      </x:c>
      <x:c r="J9" s="897" t="n">
        <x:f>SUM(E9:F9)</x:f>
        <x:v>36145000</x:v>
      </x:c>
      <x:c r="K9" s="579"/>
      <x:c r="L9" s="579"/>
      <x:c r="M9" s="579"/>
      <x:c r="N9" s="579"/>
    </x:row>
    <x:row r="10" ht="22.75" customHeight="1">
      <x:c r="A10" s="4"/>
      <x:c r="B10" s="5"/>
      <x:c r="C10" s="928">
        <x:v>3</x:v>
      </x:c>
      <x:c r="D10" s="913" t="n">
        <x:f>(Development!$D$25-Development!$D$7)/Inputs!$D$12</x:f>
        <x:v>6120833.333333333</x:v>
      </x:c>
      <x:c r="E10" s="913" t="n">
        <x:f>D10*Inputs!$D$31</x:f>
        <x:v>3672499.9999999995</x:v>
      </x:c>
      <x:c r="F10" s="895" t="n">
        <x:f>J9</x:f>
        <x:v>36145000</x:v>
      </x:c>
      <x:c r="G10" s="932" t="n">
        <x:f>(F10+E10/2)*Inputs!$D$32/Inputs!$D$16</x:f>
        <x:v>253208.33333333334</x:v>
      </x:c>
      <x:c r="H10" s="895" t="n">
        <x:f>0</x:f>
        <x:v>0</x:v>
      </x:c>
      <x:c r="I10" s="895" t="n">
        <x:f>SUM(D10,G10,H10)-E10</x:f>
        <x:v>2701541.6666666665</x:v>
      </x:c>
      <x:c r="J10" s="895" t="n">
        <x:f>SUM(E10:F10)</x:f>
        <x:v>39817500</x:v>
      </x:c>
      <x:c r="K10" s="579"/>
      <x:c r="L10" s="579"/>
      <x:c r="M10" s="579"/>
      <x:c r="N10" s="579"/>
    </x:row>
    <x:row r="11" ht="22.75" customHeight="1">
      <x:c r="A11" s="4"/>
      <x:c r="B11" s="5"/>
      <x:c r="C11" s="927">
        <x:v>4</x:v>
      </x:c>
      <x:c r="D11" s="901" t="n">
        <x:f>(Development!$D$25-Development!$D$7)/Inputs!$D$12</x:f>
        <x:v>6120833.333333333</x:v>
      </x:c>
      <x:c r="E11" s="901" t="n">
        <x:f>D11*Inputs!$D$31</x:f>
        <x:v>3672499.9999999995</x:v>
      </x:c>
      <x:c r="F11" s="897" t="n">
        <x:f>J10</x:f>
        <x:v>39817500</x:v>
      </x:c>
      <x:c r="G11" s="933" t="n">
        <x:f>(F11+E11/2)*Inputs!$D$32/Inputs!$D$16</x:f>
        <x:v>277691.6666666667</x:v>
      </x:c>
      <x:c r="H11" s="897" t="n">
        <x:f>0</x:f>
        <x:v>0</x:v>
      </x:c>
      <x:c r="I11" s="897" t="n">
        <x:f>SUM(D11,G11,H11)-E11</x:f>
        <x:v>2726025.0000000005</x:v>
      </x:c>
      <x:c r="J11" s="897" t="n">
        <x:f>SUM(E11:F11)</x:f>
        <x:v>43490000</x:v>
      </x:c>
      <x:c r="K11" s="579"/>
      <x:c r="L11" s="579"/>
      <x:c r="M11" s="579"/>
      <x:c r="N11" s="579"/>
    </x:row>
    <x:row r="12" ht="22.75" customHeight="1">
      <x:c r="A12" s="4"/>
      <x:c r="B12" s="5"/>
      <x:c r="C12" s="928">
        <x:v>5</x:v>
      </x:c>
      <x:c r="D12" s="913" t="n">
        <x:f>(Development!$D$25-Development!$D$7)/Inputs!$D$12</x:f>
        <x:v>6120833.333333333</x:v>
      </x:c>
      <x:c r="E12" s="913" t="n">
        <x:f>D12*Inputs!$D$31</x:f>
        <x:v>3672499.9999999995</x:v>
      </x:c>
      <x:c r="F12" s="895" t="n">
        <x:f>J11</x:f>
        <x:v>43490000</x:v>
      </x:c>
      <x:c r="G12" s="932" t="n">
        <x:f>(F12+E12/2)*Inputs!$D$32/Inputs!$D$16</x:f>
        <x:v>302175</x:v>
      </x:c>
      <x:c r="H12" s="895" t="n">
        <x:f>0</x:f>
        <x:v>0</x:v>
      </x:c>
      <x:c r="I12" s="895" t="n">
        <x:f>SUM(D12,G12,H12)-E12</x:f>
        <x:v>2750508.3333333335</x:v>
      </x:c>
      <x:c r="J12" s="895" t="n">
        <x:f>SUM(E12:F12)</x:f>
        <x:v>47162500</x:v>
      </x:c>
      <x:c r="K12" s="579"/>
      <x:c r="L12" s="579"/>
      <x:c r="M12" s="579"/>
      <x:c r="N12" s="579"/>
    </x:row>
    <x:row r="13" ht="22.75" customHeight="1">
      <x:c r="A13" s="4"/>
      <x:c r="B13" s="5"/>
      <x:c r="C13" s="927">
        <x:v>6</x:v>
      </x:c>
      <x:c r="D13" s="901" t="n">
        <x:f>(Development!$D$25-Development!$D$7)/Inputs!$D$12</x:f>
        <x:v>6120833.333333333</x:v>
      </x:c>
      <x:c r="E13" s="901" t="n">
        <x:f>D13*Inputs!$D$31</x:f>
        <x:v>3672499.9999999995</x:v>
      </x:c>
      <x:c r="F13" s="897" t="n">
        <x:f>J12</x:f>
        <x:v>47162500</x:v>
      </x:c>
      <x:c r="G13" s="933" t="n">
        <x:f>(F13+E13/2)*Inputs!$D$32/Inputs!$D$16</x:f>
        <x:v>326658.3333333333</x:v>
      </x:c>
      <x:c r="H13" s="897" t="n">
        <x:f>0</x:f>
        <x:v>0</x:v>
      </x:c>
      <x:c r="I13" s="897" t="n">
        <x:f>SUM(D13,G13,H13)-E13</x:f>
        <x:v>2774991.6666666665</x:v>
      </x:c>
      <x:c r="J13" s="897" t="n">
        <x:f>SUM(E13:F13)</x:f>
        <x:v>50835000</x:v>
      </x:c>
      <x:c r="K13" s="579"/>
      <x:c r="L13" s="579"/>
      <x:c r="M13" s="579"/>
      <x:c r="N13" s="579"/>
    </x:row>
    <x:row r="14" ht="22.75" customHeight="1">
      <x:c r="A14" s="4"/>
      <x:c r="B14" s="5"/>
      <x:c r="C14" s="928">
        <x:v>7</x:v>
      </x:c>
      <x:c r="D14" s="913" t="n">
        <x:f>(Development!$D$25-Development!$D$7)/Inputs!$D$12</x:f>
        <x:v>6120833.333333333</x:v>
      </x:c>
      <x:c r="E14" s="913" t="n">
        <x:f>D14*Inputs!$D$31</x:f>
        <x:v>3672499.9999999995</x:v>
      </x:c>
      <x:c r="F14" s="895" t="n">
        <x:f>J13</x:f>
        <x:v>50835000</x:v>
      </x:c>
      <x:c r="G14" s="932" t="n">
        <x:f>(F14+E14/2)*Inputs!$D$32/Inputs!$D$16</x:f>
        <x:v>351141.6666666667</x:v>
      </x:c>
      <x:c r="H14" s="895" t="n">
        <x:f>0</x:f>
        <x:v>0</x:v>
      </x:c>
      <x:c r="I14" s="895" t="n">
        <x:f>SUM(D14,G14,H14)-E14</x:f>
        <x:v>2799475.0000000005</x:v>
      </x:c>
      <x:c r="J14" s="895" t="n">
        <x:f>SUM(E14:F14)</x:f>
        <x:v>54507500</x:v>
      </x:c>
      <x:c r="K14" s="579"/>
      <x:c r="L14" s="579"/>
      <x:c r="M14" s="579"/>
      <x:c r="N14" s="579"/>
    </x:row>
    <x:row r="15" ht="22.75" customHeight="1">
      <x:c r="A15" s="4"/>
      <x:c r="B15" s="5"/>
      <x:c r="C15" s="927">
        <x:v>8</x:v>
      </x:c>
      <x:c r="D15" s="901" t="n">
        <x:f>(Development!$D$25-Development!$D$7)/Inputs!$D$12</x:f>
        <x:v>6120833.333333333</x:v>
      </x:c>
      <x:c r="E15" s="901" t="n">
        <x:f>D15*Inputs!$D$31</x:f>
        <x:v>3672499.9999999995</x:v>
      </x:c>
      <x:c r="F15" s="897" t="n">
        <x:f>J14</x:f>
        <x:v>54507500</x:v>
      </x:c>
      <x:c r="G15" s="933" t="n">
        <x:f>(F15+E15/2)*Inputs!$D$32/Inputs!$D$16</x:f>
        <x:v>375625</x:v>
      </x:c>
      <x:c r="H15" s="897" t="n">
        <x:f>0</x:f>
        <x:v>0</x:v>
      </x:c>
      <x:c r="I15" s="897" t="n">
        <x:f>SUM(D15,G15,H15)-E15</x:f>
        <x:v>2823958.3333333335</x:v>
      </x:c>
      <x:c r="J15" s="897" t="n">
        <x:f>SUM(E15:F15)</x:f>
        <x:v>58180000</x:v>
      </x:c>
      <x:c r="K15" s="579"/>
      <x:c r="L15" s="579"/>
      <x:c r="M15" s="579"/>
      <x:c r="N15" s="579"/>
    </x:row>
    <x:row r="16" ht="22.75" customHeight="1">
      <x:c r="A16" s="4"/>
      <x:c r="B16" s="5"/>
      <x:c r="C16" s="928">
        <x:v>9</x:v>
      </x:c>
      <x:c r="D16" s="913" t="n">
        <x:f>(Development!$D$25-Development!$D$7)/Inputs!$D$12</x:f>
        <x:v>6120833.333333333</x:v>
      </x:c>
      <x:c r="E16" s="913" t="n">
        <x:f>D16*Inputs!$D$31</x:f>
        <x:v>3672499.9999999995</x:v>
      </x:c>
      <x:c r="F16" s="895" t="n">
        <x:f>J15</x:f>
        <x:v>58180000</x:v>
      </x:c>
      <x:c r="G16" s="932" t="n">
        <x:f>(F16+E16/2)*Inputs!$D$32/Inputs!$D$16</x:f>
        <x:v>400108.3333333333</x:v>
      </x:c>
      <x:c r="H16" s="895" t="n">
        <x:f>0</x:f>
        <x:v>0</x:v>
      </x:c>
      <x:c r="I16" s="895" t="n">
        <x:f>SUM(D16,G16,H16)-E16</x:f>
        <x:v>2848441.6666666665</x:v>
      </x:c>
      <x:c r="J16" s="895" t="n">
        <x:f>SUM(E16:F16)</x:f>
        <x:v>61852500</x:v>
      </x:c>
      <x:c r="K16" s="579"/>
      <x:c r="L16" s="579"/>
      <x:c r="M16" s="579"/>
      <x:c r="N16" s="579"/>
    </x:row>
    <x:row r="17" ht="22.75" customHeight="1">
      <x:c r="A17" s="4"/>
      <x:c r="B17" s="5"/>
      <x:c r="C17" s="927">
        <x:v>10</x:v>
      </x:c>
      <x:c r="D17" s="901" t="n">
        <x:f>(Development!$D$25-Development!$D$7)/Inputs!$D$12</x:f>
        <x:v>6120833.333333333</x:v>
      </x:c>
      <x:c r="E17" s="901" t="n">
        <x:f>D17*Inputs!$D$31</x:f>
        <x:v>3672499.9999999995</x:v>
      </x:c>
      <x:c r="F17" s="897" t="n">
        <x:f>J16</x:f>
        <x:v>61852500</x:v>
      </x:c>
      <x:c r="G17" s="933" t="n">
        <x:f>(F17+E17/2)*Inputs!$D$32/Inputs!$D$16</x:f>
        <x:v>424591.6666666667</x:v>
      </x:c>
      <x:c r="H17" s="897" t="n">
        <x:f>0</x:f>
        <x:v>0</x:v>
      </x:c>
      <x:c r="I17" s="897" t="n">
        <x:f>SUM(D17,G17,H17)-E17</x:f>
        <x:v>2872925.0000000005</x:v>
      </x:c>
      <x:c r="J17" s="897" t="n">
        <x:f>SUM(E17:F17)</x:f>
        <x:v>65525000</x:v>
      </x:c>
      <x:c r="K17" s="579"/>
      <x:c r="L17" s="579"/>
      <x:c r="M17" s="579"/>
      <x:c r="N17" s="579"/>
    </x:row>
    <x:row r="18" ht="22.75" customHeight="1">
      <x:c r="A18" s="4"/>
      <x:c r="B18" s="5"/>
      <x:c r="C18" s="928">
        <x:v>11</x:v>
      </x:c>
      <x:c r="D18" s="913" t="n">
        <x:f>(Development!$D$25-Development!$D$7)/Inputs!$D$12</x:f>
        <x:v>6120833.333333333</x:v>
      </x:c>
      <x:c r="E18" s="913" t="n">
        <x:f>D18*Inputs!$D$31</x:f>
        <x:v>3672499.9999999995</x:v>
      </x:c>
      <x:c r="F18" s="895" t="n">
        <x:f>J17</x:f>
        <x:v>65525000</x:v>
      </x:c>
      <x:c r="G18" s="932" t="n">
        <x:f>(F18+E18/2)*Inputs!$D$32/Inputs!$D$16</x:f>
        <x:v>449075</x:v>
      </x:c>
      <x:c r="H18" s="895" t="n">
        <x:f>0</x:f>
        <x:v>0</x:v>
      </x:c>
      <x:c r="I18" s="895" t="n">
        <x:f>SUM(D18,G18,H18)-E18</x:f>
        <x:v>2897408.3333333335</x:v>
      </x:c>
      <x:c r="J18" s="895" t="n">
        <x:f>SUM(E18:F18)</x:f>
        <x:v>69197500</x:v>
      </x:c>
      <x:c r="K18" s="579"/>
      <x:c r="L18" s="579"/>
      <x:c r="M18" s="579"/>
      <x:c r="N18" s="579"/>
    </x:row>
    <x:row r="19" ht="22.75" customHeight="1">
      <x:c r="A19" s="4"/>
      <x:c r="B19" s="5"/>
      <x:c r="C19" s="927">
        <x:v>12</x:v>
      </x:c>
      <x:c r="D19" s="901" t="n">
        <x:f>(Development!$D$25-Development!$D$7)/Inputs!$D$12</x:f>
        <x:v>6120833.333333333</x:v>
      </x:c>
      <x:c r="E19" s="901" t="n">
        <x:f>D19*Inputs!$D$31</x:f>
        <x:v>3672499.9999999995</x:v>
      </x:c>
      <x:c r="F19" s="897" t="n">
        <x:f>J18</x:f>
        <x:v>69197500</x:v>
      </x:c>
      <x:c r="G19" s="933" t="n">
        <x:f>(F19+E19/2)*Inputs!$D$32/Inputs!$D$16</x:f>
        <x:v>473558.3333333333</x:v>
      </x:c>
      <x:c r="H19" s="897" t="n">
        <x:f>0</x:f>
        <x:v>0</x:v>
      </x:c>
      <x:c r="I19" s="897" t="n">
        <x:f>SUM(D19,G19,H19)-E19</x:f>
        <x:v>2921891.6666666665</x:v>
      </x:c>
      <x:c r="J19" s="897" t="n">
        <x:f>SUM(E19:F19)</x:f>
        <x:v>72870000</x:v>
      </x:c>
      <x:c r="K19" s="579"/>
      <x:c r="L19" s="579"/>
      <x:c r="M19" s="579"/>
      <x:c r="N19" s="579"/>
    </x:row>
    <x:row r="20" ht="22.75" customHeight="1">
      <x:c r="A20" s="4"/>
      <x:c r="B20" s="5"/>
      <x:c r="C20" s="928">
        <x:v>13</x:v>
      </x:c>
      <x:c r="D20" s="913" t="n">
        <x:f>(Development!$D$25-Development!$D$7)/Inputs!$D$12</x:f>
        <x:v>6120833.333333333</x:v>
      </x:c>
      <x:c r="E20" s="913" t="n">
        <x:f>D20*Inputs!$D$31</x:f>
        <x:v>3672499.9999999995</x:v>
      </x:c>
      <x:c r="F20" s="895" t="n">
        <x:f>J19</x:f>
        <x:v>72870000</x:v>
      </x:c>
      <x:c r="G20" s="932" t="n">
        <x:f>(F20+E20/2)*Inputs!$D$32/Inputs!$D$16</x:f>
        <x:v>498041.6666666667</x:v>
      </x:c>
      <x:c r="H20" s="895" t="n">
        <x:f>0</x:f>
        <x:v>0</x:v>
      </x:c>
      <x:c r="I20" s="895" t="n">
        <x:f>SUM(D20,G20,H20)-E20</x:f>
        <x:v>2946375.0000000005</x:v>
      </x:c>
      <x:c r="J20" s="895" t="n">
        <x:f>SUM(E20:F20)</x:f>
        <x:v>76542500</x:v>
      </x:c>
      <x:c r="K20" s="579"/>
      <x:c r="L20" s="579"/>
      <x:c r="M20" s="579"/>
      <x:c r="N20" s="579"/>
    </x:row>
    <x:row r="21" ht="22.75" customHeight="1">
      <x:c r="A21" s="4"/>
      <x:c r="B21" s="5"/>
      <x:c r="C21" s="927">
        <x:v>14</x:v>
      </x:c>
      <x:c r="D21" s="901" t="n">
        <x:f>(Development!$D$25-Development!$D$7)/Inputs!$D$12</x:f>
        <x:v>6120833.333333333</x:v>
      </x:c>
      <x:c r="E21" s="901" t="n">
        <x:f>D21*Inputs!$D$31</x:f>
        <x:v>3672499.9999999995</x:v>
      </x:c>
      <x:c r="F21" s="897" t="n">
        <x:f>J20</x:f>
        <x:v>76542500</x:v>
      </x:c>
      <x:c r="G21" s="933" t="n">
        <x:f>(F21+E21/2)*Inputs!$D$32/Inputs!$D$16</x:f>
        <x:v>522525</x:v>
      </x:c>
      <x:c r="H21" s="897" t="n">
        <x:f>0</x:f>
        <x:v>0</x:v>
      </x:c>
      <x:c r="I21" s="897" t="n">
        <x:f>SUM(D21,G21,H21)-E21</x:f>
        <x:v>2970858.3333333335</x:v>
      </x:c>
      <x:c r="J21" s="897" t="n">
        <x:f>SUM(E21:F21)</x:f>
        <x:v>80215000</x:v>
      </x:c>
      <x:c r="K21" s="579"/>
      <x:c r="L21" s="579"/>
      <x:c r="M21" s="579"/>
      <x:c r="N21" s="579"/>
    </x:row>
    <x:row r="22" ht="22.75" customHeight="1">
      <x:c r="A22" s="4"/>
      <x:c r="B22" s="5"/>
      <x:c r="C22" s="928">
        <x:v>15</x:v>
      </x:c>
      <x:c r="D22" s="913" t="n">
        <x:f>(Development!$D$25-Development!$D$7)/Inputs!$D$12</x:f>
        <x:v>6120833.333333333</x:v>
      </x:c>
      <x:c r="E22" s="913" t="n">
        <x:f>D22*Inputs!$D$31</x:f>
        <x:v>3672499.9999999995</x:v>
      </x:c>
      <x:c r="F22" s="895" t="n">
        <x:f>J21</x:f>
        <x:v>80215000</x:v>
      </x:c>
      <x:c r="G22" s="932" t="n">
        <x:f>(F22+E22/2)*Inputs!$D$32/Inputs!$D$16</x:f>
        <x:v>547008.3333333334</x:v>
      </x:c>
      <x:c r="H22" s="895" t="n">
        <x:f>0</x:f>
        <x:v>0</x:v>
      </x:c>
      <x:c r="I22" s="895" t="n">
        <x:f>SUM(D22,G22,H22)-E22</x:f>
        <x:v>2995341.6666666665</x:v>
      </x:c>
      <x:c r="J22" s="895" t="n">
        <x:f>SUM(E22:F22)</x:f>
        <x:v>83887500</x:v>
      </x:c>
      <x:c r="K22" s="579"/>
      <x:c r="L22" s="579"/>
      <x:c r="M22" s="579"/>
      <x:c r="N22" s="579"/>
    </x:row>
    <x:row r="23" ht="22.75" customHeight="1">
      <x:c r="A23" s="4"/>
      <x:c r="B23" s="5"/>
      <x:c r="C23" s="927">
        <x:v>16</x:v>
      </x:c>
      <x:c r="D23" s="901" t="n">
        <x:f>(Development!$D$25-Development!$D$7)/Inputs!$D$12</x:f>
        <x:v>6120833.333333333</x:v>
      </x:c>
      <x:c r="E23" s="901" t="n">
        <x:f>D23*Inputs!$D$31</x:f>
        <x:v>3672499.9999999995</x:v>
      </x:c>
      <x:c r="F23" s="897" t="n">
        <x:f>J22</x:f>
        <x:v>83887500</x:v>
      </x:c>
      <x:c r="G23" s="933" t="n">
        <x:f>(F23+E23/2)*Inputs!$D$32/Inputs!$D$16</x:f>
        <x:v>571491.6666666666</x:v>
      </x:c>
      <x:c r="H23" s="897" t="n">
        <x:f>0</x:f>
        <x:v>0</x:v>
      </x:c>
      <x:c r="I23" s="897" t="n">
        <x:f>SUM(D23,G23,H23)-E23</x:f>
        <x:v>3019825.0000000005</x:v>
      </x:c>
      <x:c r="J23" s="897" t="n">
        <x:f>SUM(E23:F23)</x:f>
        <x:v>87560000</x:v>
      </x:c>
      <x:c r="K23" s="579"/>
      <x:c r="L23" s="579"/>
      <x:c r="M23" s="579"/>
      <x:c r="N23" s="579"/>
    </x:row>
    <x:row r="24" ht="22.75" customHeight="1">
      <x:c r="A24" s="4"/>
      <x:c r="B24" s="5"/>
      <x:c r="C24" s="928">
        <x:v>17</x:v>
      </x:c>
      <x:c r="D24" s="913" t="n">
        <x:f>(Development!$D$25-Development!$D$7)/Inputs!$D$12</x:f>
        <x:v>6120833.333333333</x:v>
      </x:c>
      <x:c r="E24" s="913" t="n">
        <x:f>D24*Inputs!$D$31</x:f>
        <x:v>3672499.9999999995</x:v>
      </x:c>
      <x:c r="F24" s="895" t="n">
        <x:f>J23</x:f>
        <x:v>87560000</x:v>
      </x:c>
      <x:c r="G24" s="932" t="n">
        <x:f>(F24+E24/2)*Inputs!$D$32/Inputs!$D$16</x:f>
        <x:v>595975</x:v>
      </x:c>
      <x:c r="H24" s="895" t="n">
        <x:f>0</x:f>
        <x:v>0</x:v>
      </x:c>
      <x:c r="I24" s="895" t="n">
        <x:f>SUM(D24,G24,H24)-E24</x:f>
        <x:v>3044308.3333333335</x:v>
      </x:c>
      <x:c r="J24" s="895" t="n">
        <x:f>SUM(E24:F24)</x:f>
        <x:v>91232500</x:v>
      </x:c>
      <x:c r="K24" s="579"/>
      <x:c r="L24" s="579"/>
      <x:c r="M24" s="579"/>
      <x:c r="N24" s="579"/>
    </x:row>
    <x:row r="25" ht="22.75" customHeight="1">
      <x:c r="A25" s="4"/>
      <x:c r="B25" s="5"/>
      <x:c r="C25" s="927">
        <x:v>18</x:v>
      </x:c>
      <x:c r="D25" s="901" t="n">
        <x:f>(Development!$D$25-Development!$D$7)/Inputs!$D$12</x:f>
        <x:v>6120833.333333333</x:v>
      </x:c>
      <x:c r="E25" s="901" t="n">
        <x:f>D25*Inputs!$D$31</x:f>
        <x:v>3672499.9999999995</x:v>
      </x:c>
      <x:c r="F25" s="897" t="n">
        <x:f>J24</x:f>
        <x:v>91232500</x:v>
      </x:c>
      <x:c r="G25" s="933" t="n">
        <x:f>(F25+E25/2)*Inputs!$D$32/Inputs!$D$16</x:f>
        <x:v>620458.3333333334</x:v>
      </x:c>
      <x:c r="H25" s="897" t="n">
        <x:f>0</x:f>
        <x:v>0</x:v>
      </x:c>
      <x:c r="I25" s="897" t="n">
        <x:f>SUM(D25,G25,H25)-E25</x:f>
        <x:v>3068791.6666666665</x:v>
      </x:c>
      <x:c r="J25" s="897" t="n">
        <x:f>SUM(E25:F25)</x:f>
        <x:v>94905000</x:v>
      </x:c>
      <x:c r="K25" s="579"/>
      <x:c r="L25" s="579"/>
      <x:c r="M25" s="579"/>
      <x:c r="N25" s="579"/>
    </x:row>
    <x:row r="26" ht="22.75" customHeight="1">
      <x:c r="A26" s="4"/>
      <x:c r="B26" s="5"/>
      <x:c r="C26" s="928">
        <x:v>19</x:v>
      </x:c>
      <x:c r="D26" s="913" t="n">
        <x:f>(Development!$D$25-Development!$D$7)/Inputs!$D$12</x:f>
        <x:v>6120833.333333333</x:v>
      </x:c>
      <x:c r="E26" s="913" t="n">
        <x:f>D26*Inputs!$D$31</x:f>
        <x:v>3672499.9999999995</x:v>
      </x:c>
      <x:c r="F26" s="895" t="n">
        <x:f>J25</x:f>
        <x:v>94905000</x:v>
      </x:c>
      <x:c r="G26" s="932" t="n">
        <x:f>(F26+E26/2)*Inputs!$D$32/Inputs!$D$16</x:f>
        <x:v>644941.6666666666</x:v>
      </x:c>
      <x:c r="H26" s="895" t="n">
        <x:f>0</x:f>
        <x:v>0</x:v>
      </x:c>
      <x:c r="I26" s="895" t="n">
        <x:f>SUM(D26,G26,H26)-E26</x:f>
        <x:v>3093275.0000000005</x:v>
      </x:c>
      <x:c r="J26" s="895" t="n">
        <x:f>SUM(E26:F26)</x:f>
        <x:v>98577500</x:v>
      </x:c>
      <x:c r="K26" s="579"/>
      <x:c r="L26" s="579"/>
      <x:c r="M26" s="579"/>
      <x:c r="N26" s="579"/>
    </x:row>
    <x:row r="27" ht="22.75" customHeight="1">
      <x:c r="A27" s="4"/>
      <x:c r="B27" s="5"/>
      <x:c r="C27" s="927">
        <x:v>20</x:v>
      </x:c>
      <x:c r="D27" s="901" t="n">
        <x:f>(Development!$D$25-Development!$D$7)/Inputs!$D$12</x:f>
        <x:v>6120833.333333333</x:v>
      </x:c>
      <x:c r="E27" s="901" t="n">
        <x:f>D27*Inputs!$D$31</x:f>
        <x:v>3672499.9999999995</x:v>
      </x:c>
      <x:c r="F27" s="897" t="n">
        <x:f>J26</x:f>
        <x:v>98577500</x:v>
      </x:c>
      <x:c r="G27" s="933" t="n">
        <x:f>(F27+E27/2)*Inputs!$D$32/Inputs!$D$16</x:f>
        <x:v>669425</x:v>
      </x:c>
      <x:c r="H27" s="897" t="n">
        <x:f>0</x:f>
        <x:v>0</x:v>
      </x:c>
      <x:c r="I27" s="897" t="n">
        <x:f>SUM(D27,G27,H27)-E27</x:f>
        <x:v>3117758.3333333335</x:v>
      </x:c>
      <x:c r="J27" s="897" t="n">
        <x:f>SUM(E27:F27)</x:f>
        <x:v>102250000</x:v>
      </x:c>
      <x:c r="K27" s="579"/>
      <x:c r="L27" s="579"/>
      <x:c r="M27" s="579"/>
      <x:c r="N27" s="579"/>
    </x:row>
    <x:row r="28" ht="22.75" customHeight="1">
      <x:c r="A28" s="4"/>
      <x:c r="B28" s="5"/>
      <x:c r="C28" s="928">
        <x:v>21</x:v>
      </x:c>
      <x:c r="D28" s="913" t="n">
        <x:f>(Development!$D$25-Development!$D$7)/Inputs!$D$12</x:f>
        <x:v>6120833.333333333</x:v>
      </x:c>
      <x:c r="E28" s="913" t="n">
        <x:f>D28*Inputs!$D$31</x:f>
        <x:v>3672499.9999999995</x:v>
      </x:c>
      <x:c r="F28" s="895" t="n">
        <x:f>J27</x:f>
        <x:v>102250000</x:v>
      </x:c>
      <x:c r="G28" s="932" t="n">
        <x:f>(F28+E28/2)*Inputs!$D$32/Inputs!$D$16</x:f>
        <x:v>693908.3333333334</x:v>
      </x:c>
      <x:c r="H28" s="895" t="n">
        <x:f>0</x:f>
        <x:v>0</x:v>
      </x:c>
      <x:c r="I28" s="895" t="n">
        <x:f>SUM(D28,G28,H28)-E28</x:f>
        <x:v>3142241.6666666665</x:v>
      </x:c>
      <x:c r="J28" s="895" t="n">
        <x:f>SUM(E28:F28)</x:f>
        <x:v>105922500</x:v>
      </x:c>
      <x:c r="K28" s="579"/>
      <x:c r="L28" s="579"/>
      <x:c r="M28" s="579"/>
      <x:c r="N28" s="579"/>
    </x:row>
    <x:row r="29" ht="22.75" customHeight="1">
      <x:c r="A29" s="4"/>
      <x:c r="B29" s="5"/>
      <x:c r="C29" s="927">
        <x:v>22</x:v>
      </x:c>
      <x:c r="D29" s="901" t="n">
        <x:f>(Development!$D$25-Development!$D$7)/Inputs!$D$12</x:f>
        <x:v>6120833.333333333</x:v>
      </x:c>
      <x:c r="E29" s="901" t="n">
        <x:f>D29*Inputs!$D$31</x:f>
        <x:v>3672499.9999999995</x:v>
      </x:c>
      <x:c r="F29" s="897" t="n">
        <x:f>J28</x:f>
        <x:v>105922500</x:v>
      </x:c>
      <x:c r="G29" s="933" t="n">
        <x:f>(F29+E29/2)*Inputs!$D$32/Inputs!$D$16</x:f>
        <x:v>718391.6666666666</x:v>
      </x:c>
      <x:c r="H29" s="897" t="n">
        <x:f>0</x:f>
        <x:v>0</x:v>
      </x:c>
      <x:c r="I29" s="897" t="n">
        <x:f>SUM(D29,G29,H29)-E29</x:f>
        <x:v>3166725.0000000005</x:v>
      </x:c>
      <x:c r="J29" s="897" t="n">
        <x:f>SUM(E29:F29)</x:f>
        <x:v>109595000</x:v>
      </x:c>
      <x:c r="K29" s="579"/>
      <x:c r="L29" s="579"/>
      <x:c r="M29" s="579"/>
      <x:c r="N29" s="579"/>
    </x:row>
    <x:row r="30" ht="22.75" customHeight="1">
      <x:c r="A30" s="4"/>
      <x:c r="B30" s="5"/>
      <x:c r="C30" s="928">
        <x:v>23</x:v>
      </x:c>
      <x:c r="D30" s="913" t="n">
        <x:f>(Development!$D$25-Development!$D$7)/Inputs!$D$12</x:f>
        <x:v>6120833.333333333</x:v>
      </x:c>
      <x:c r="E30" s="913" t="n">
        <x:f>D30*Inputs!$D$31</x:f>
        <x:v>3672499.9999999995</x:v>
      </x:c>
      <x:c r="F30" s="895" t="n">
        <x:f>J29</x:f>
        <x:v>109595000</x:v>
      </x:c>
      <x:c r="G30" s="932" t="n">
        <x:f>(F30+E30/2)*Inputs!$D$32/Inputs!$D$16</x:f>
        <x:v>742875</x:v>
      </x:c>
      <x:c r="H30" s="895" t="n">
        <x:f>0</x:f>
        <x:v>0</x:v>
      </x:c>
      <x:c r="I30" s="895" t="n">
        <x:f>SUM(D30,G30,H30)-E30</x:f>
        <x:v>3191208.3333333335</x:v>
      </x:c>
      <x:c r="J30" s="895" t="n">
        <x:f>SUM(E30:F30)</x:f>
        <x:v>113267500</x:v>
      </x:c>
      <x:c r="K30" s="579"/>
      <x:c r="L30" s="579"/>
      <x:c r="M30" s="579"/>
      <x:c r="N30" s="579"/>
    </x:row>
    <x:row r="31" ht="22.75" customHeight="1">
      <x:c r="A31" s="4"/>
      <x:c r="B31" s="5"/>
      <x:c r="C31" s="927">
        <x:v>24</x:v>
      </x:c>
      <x:c r="D31" s="901" t="n">
        <x:f>(Development!$D$25-Development!$D$7)/Inputs!$D$12</x:f>
        <x:v>6120833.333333333</x:v>
      </x:c>
      <x:c r="E31" s="901" t="n">
        <x:f>D31*Inputs!$D$31</x:f>
        <x:v>3672499.9999999995</x:v>
      </x:c>
      <x:c r="F31" s="897" t="n">
        <x:f>J30</x:f>
        <x:v>113267500</x:v>
      </x:c>
      <x:c r="G31" s="933" t="n">
        <x:f>(F31+E31/2)*Inputs!$D$32/Inputs!$D$16</x:f>
        <x:v>767358.3333333334</x:v>
      </x:c>
      <x:c r="H31" s="897" t="n">
        <x:f>0</x:f>
        <x:v>0</x:v>
      </x:c>
      <x:c r="I31" s="897" t="n">
        <x:f>SUM(D31,G31,H31)-E31</x:f>
        <x:v>3215691.6666666665</x:v>
      </x:c>
      <x:c r="J31" s="897" t="n">
        <x:f>SUM(E31:F31)</x:f>
        <x:v>116940000</x:v>
      </x:c>
      <x:c r="K31" s="579"/>
      <x:c r="L31" s="579"/>
      <x:c r="M31" s="579"/>
      <x:c r="N31" s="579"/>
    </x:row>
    <x:row r="32" ht="9" customHeight="1">
      <x:c r="A32" s="4"/>
      <x:c r="B32" s="5"/>
      <x:c r="C32" s="454"/>
      <x:c r="D32" s="897"/>
      <x:c r="E32" s="897"/>
      <x:c r="F32" s="897"/>
      <x:c r="G32" s="897"/>
      <x:c r="H32" s="897"/>
      <x:c r="I32" s="897"/>
      <x:c r="J32" s="897"/>
      <x:c r="K32" s="579"/>
      <x:c r="L32" s="579"/>
      <x:c r="M32" s="579"/>
      <x:c r="N32" s="579"/>
    </x:row>
    <x:row r="33" ht="22.75" customHeight="1">
      <x:c r="A33" s="4"/>
      <x:c r="B33" s="5"/>
      <x:c r="C33" s="644" t="s">
        <x:v>491</x:v>
      </x:c>
      <x:c r="D33" s="899" t="n">
        <x:f>SUM(D7:D31)</x:f>
        <x:v>194900000.00000006</x:v>
      </x:c>
      <x:c r="E33" s="899" t="n">
        <x:f>SUM(E7:E31)</x:f>
        <x:v>116940000</x:v>
      </x:c>
      <x:c r="F33" s="899"/>
      <x:c r="G33" s="899" t="n">
        <x:f>SUM(G7:G31)</x:f>
        <x:v>11659200.000000002</x:v>
      </x:c>
      <x:c r="H33" s="899" t="n">
        <x:f>SUM(H7:H31)</x:f>
        <x:v>1169400</x:v>
      </x:c>
      <x:c r="I33" s="899" t="n">
        <x:f>SUM(I7:I31)</x:f>
        <x:v>90788600</x:v>
      </x:c>
      <x:c r="J33" s="899" t="n">
        <x:f>J31</x:f>
        <x:v>116940000</x:v>
      </x:c>
      <x:c r="K33" s="579"/>
      <x:c r="L33" s="579"/>
      <x:c r="M33" s="579"/>
      <x:c r="N33" s="579"/>
    </x:row>
    <x:row r="34" ht="9" customHeight="1">
      <x:c r="A34" s="4"/>
      <x:c r="B34" s="5"/>
      <x:c r="C34" s="454"/>
      <x:c r="D34" s="453"/>
      <x:c r="E34" s="453"/>
      <x:c r="F34" s="453"/>
      <x:c r="G34" s="453"/>
      <x:c r="H34" s="453"/>
      <x:c r="I34" s="453"/>
      <x:c r="J34" s="453"/>
      <x:c r="K34" s="579"/>
      <x:c r="L34" s="579"/>
      <x:c r="M34" s="579"/>
      <x:c r="N34" s="579"/>
    </x:row>
    <x:row r="35" ht="34.29999923706055" customHeight="1">
      <x:c r="A35" s="4"/>
      <x:c r="B35" s="5"/>
      <x:c r="C35" s="621" t="s">
        <x:v>492</x:v>
      </x:c>
      <x:c r="D35" s="453"/>
      <x:c r="E35" s="453"/>
      <x:c r="F35" s="453"/>
      <x:c r="G35" s="453"/>
      <x:c r="H35" s="453"/>
      <x:c r="I35" s="453"/>
      <x:c r="J35" s="453"/>
      <x:c r="K35" s="579"/>
      <x:c r="L35" s="579"/>
      <x:c r="M35" s="579"/>
      <x:c r="N35" s="579"/>
    </x:row>
    <x:row r="36" ht="9" customHeight="1">
      <x:c r="A36" s="4"/>
      <x:c r="B36" s="5"/>
      <x:c r="C36" s="454"/>
      <x:c r="D36" s="453"/>
      <x:c r="E36" s="453"/>
      <x:c r="F36" s="453"/>
      <x:c r="G36" s="453"/>
      <x:c r="H36" s="453"/>
      <x:c r="I36" s="453"/>
      <x:c r="J36" s="453"/>
      <x:c r="K36" s="579"/>
      <x:c r="L36" s="579"/>
      <x:c r="M36" s="579"/>
      <x:c r="N36" s="579"/>
    </x:row>
    <x:row r="37" ht="9" customHeight="1">
      <x:c r="A37" s="4"/>
      <x:c r="B37" s="5"/>
      <x:c r="C37" s="454"/>
      <x:c r="D37" s="453"/>
      <x:c r="E37" s="453"/>
      <x:c r="F37" s="453"/>
      <x:c r="G37" s="453"/>
      <x:c r="H37" s="453"/>
      <x:c r="I37" s="453"/>
      <x:c r="J37" s="453"/>
      <x:c r="K37" s="579"/>
      <x:c r="L37" s="579"/>
      <x:c r="M37" s="579"/>
      <x:c r="N37" s="579"/>
    </x:row>
    <x:row r="38" ht="26.049999237060547" customHeight="1">
      <x:c r="A38" s="4"/>
      <x:c r="B38" s="5"/>
      <x:c r="C38" s="641" t="s">
        <x:v>493</x:v>
      </x:c>
      <x:c r="D38" s="642"/>
      <x:c r="E38" s="642"/>
      <x:c r="F38" s="642"/>
      <x:c r="G38" s="642"/>
      <x:c r="H38" s="642"/>
      <x:c r="I38" s="642"/>
      <x:c r="J38" s="642"/>
      <x:c r="K38" s="579"/>
      <x:c r="L38" s="579"/>
      <x:c r="M38" s="579"/>
      <x:c r="N38" s="579"/>
    </x:row>
    <x:row r="39" ht="22.200000762939453" customHeight="1">
      <x:c r="A39" s="4"/>
      <x:c r="B39" s="5"/>
      <x:c r="C39" s="621" t="s">
        <x:v>494</x:v>
      </x:c>
      <x:c r="D39" s="453"/>
      <x:c r="E39" s="453"/>
      <x:c r="F39" s="453"/>
      <x:c r="G39" s="453"/>
      <x:c r="H39" s="453"/>
      <x:c r="I39" s="453"/>
      <x:c r="J39" s="453"/>
      <x:c r="K39" s="579"/>
      <x:c r="L39" s="579"/>
      <x:c r="M39" s="579"/>
      <x:c r="N39" s="579"/>
    </x:row>
    <x:row r="40" ht="22.200000762939453" customHeight="1">
      <x:c r="A40" s="4"/>
      <x:c r="B40" s="5"/>
      <x:c r="C40" s="621" t="s">
        <x:v>495</x:v>
      </x:c>
      <x:c r="D40" s="453"/>
      <x:c r="E40" s="453"/>
      <x:c r="F40" s="453"/>
      <x:c r="G40" s="453"/>
      <x:c r="H40" s="453"/>
      <x:c r="I40" s="453"/>
      <x:c r="J40" s="453"/>
      <x:c r="K40" s="579"/>
      <x:c r="L40" s="579"/>
      <x:c r="M40" s="579"/>
      <x:c r="N40" s="579"/>
    </x:row>
    <x:row r="41" ht="34.29999923706055" customHeight="1">
      <x:c r="A41" s="7"/>
      <x:c r="B41" s="8"/>
      <x:c r="C41" s="621" t="s">
        <x:v>496</x:v>
      </x:c>
      <x:c r="D41" s="453"/>
      <x:c r="E41" s="453"/>
      <x:c r="F41" s="453"/>
      <x:c r="G41" s="453"/>
      <x:c r="H41" s="453"/>
      <x:c r="I41" s="453"/>
      <x:c r="J41" s="453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04  |  DELIVERY SCHEDULE &amp; INTEREST CARRY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How does the construction calendar determine the cash need?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Power delivery, capital draws and first billable rent must be analyzed on the same calendar.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0</x:v>
      </x:c>
      <x:c r="Q211" s="1037" t="n">
        <x:f>D7</x:f>
        <x:v>48000000</x:v>
      </x:c>
      <x:c r="R211" s="599" t="str">
        <x:v>Construction tab</x:v>
      </x:c>
      <x:c r="S211" s="599" t="str">
        <x:v>Monthly construction draw; full funding timeline at left.</x:v>
      </x:c>
    </x:row>
    <x:row r="212" ht="17.110000610351562" hidden="0" customHeight="1">
      <x:c r="P212" s="509" t="str">
        <x:v>1</x:v>
      </x:c>
      <x:c r="Q212" s="1036" t="n">
        <x:f>D8</x:f>
        <x:v>6120833.333333333</x:v>
      </x:c>
      <x:c r="R212" s="510" t="str">
        <x:v>Construction tab</x:v>
      </x:c>
      <x:c r="S212" s="510" t="str">
        <x:v>Monthly construction draw; full funding timeline at left.</x:v>
      </x:c>
    </x:row>
    <x:row r="213" ht="17.110000610351562" hidden="0" customHeight="1">
      <x:c r="P213" s="597" t="str">
        <x:v>3</x:v>
      </x:c>
      <x:c r="Q213" s="1037" t="n">
        <x:f>D10</x:f>
        <x:v>6120833.333333333</x:v>
      </x:c>
      <x:c r="R213" s="599" t="str">
        <x:v>Construction tab</x:v>
      </x:c>
      <x:c r="S213" s="599" t="str">
        <x:v>Monthly construction draw; full funding timeline at left.</x:v>
      </x:c>
    </x:row>
    <x:row r="214" ht="17.110000610351562" hidden="0" customHeight="1">
      <x:c r="P214" s="509" t="str">
        <x:v>5</x:v>
      </x:c>
      <x:c r="Q214" s="1036" t="n">
        <x:f>D12</x:f>
        <x:v>6120833.333333333</x:v>
      </x:c>
      <x:c r="R214" s="510" t="str">
        <x:v>Construction tab</x:v>
      </x:c>
      <x:c r="S214" s="510" t="str">
        <x:v>Monthly construction draw; full funding timeline at left.</x:v>
      </x:c>
    </x:row>
    <x:row r="215" ht="17.110000610351562" hidden="0" customHeight="1">
      <x:c r="P215" s="597" t="str">
        <x:v>7</x:v>
      </x:c>
      <x:c r="Q215" s="1037" t="n">
        <x:f>D14</x:f>
        <x:v>6120833.333333333</x:v>
      </x:c>
      <x:c r="R215" s="599" t="str">
        <x:v>Construction tab</x:v>
      </x:c>
      <x:c r="S215" s="599" t="str">
        <x:v>Monthly construction draw; full funding timeline at left.</x:v>
      </x:c>
    </x:row>
    <x:row r="216" ht="17.110000610351562" hidden="0" customHeight="1">
      <x:c r="P216" s="509" t="str">
        <x:v>10</x:v>
      </x:c>
      <x:c r="Q216" s="1036" t="n">
        <x:f>D17</x:f>
        <x:v>6120833.333333333</x:v>
      </x:c>
      <x:c r="R216" s="510" t="str">
        <x:v>Construction tab</x:v>
      </x:c>
      <x:c r="S216" s="510" t="str">
        <x:v>Monthly construction draw; full funding timeline at left.</x:v>
      </x:c>
    </x:row>
    <x:row r="217" ht="17.110000610351562" hidden="0" customHeight="1">
      <x:c r="P217" s="597" t="str">
        <x:v>13</x:v>
      </x:c>
      <x:c r="Q217" s="1037" t="n">
        <x:f>D20</x:f>
        <x:v>6120833.333333333</x:v>
      </x:c>
      <x:c r="R217" s="599" t="str">
        <x:v>Construction tab</x:v>
      </x:c>
      <x:c r="S217" s="599" t="str">
        <x:v>Monthly construction draw; full funding timeline at left.</x:v>
      </x:c>
    </x:row>
    <x:row r="218" ht="17.110000610351562" hidden="0" customHeight="1">
      <x:c r="P218" s="509" t="str">
        <x:v>18</x:v>
      </x:c>
      <x:c r="Q218" s="1036" t="n">
        <x:f>D25</x:f>
        <x:v>6120833.333333333</x:v>
      </x:c>
      <x:c r="R218" s="510" t="str">
        <x:v>Construction tab</x:v>
      </x:c>
      <x:c r="S218" s="510" t="str">
        <x:v>Monthly construction draw; full funding timeline at left.</x:v>
      </x:c>
    </x:row>
    <x:row r="219" ht="17.110000610351562" hidden="0" customHeight="1">
      <x:c r="P219" s="597" t="str">
        <x:v>20</x:v>
      </x:c>
      <x:c r="Q219" s="1037" t="n">
        <x:f>D27</x:f>
        <x:v>6120833.333333333</x:v>
      </x:c>
      <x:c r="R219" s="599" t="str">
        <x:v>Construction tab</x:v>
      </x:c>
      <x:c r="S219" s="599" t="str">
        <x:v>Monthly construction draw; full funding timeline at left.</x:v>
      </x:c>
    </x:row>
    <x:row r="220" ht="17.110000610351562" hidden="0" customHeight="1">
      <x:c r="P220" s="509" t="str">
        <x:v>24</x:v>
      </x:c>
      <x:c r="Q220" s="1036" t="n">
        <x:f>D31</x:f>
        <x:v>6120833.333333333</x:v>
      </x:c>
      <x:c r="R220" s="510" t="str">
        <x:v>Construction tab</x:v>
      </x:c>
      <x:c r="S220" s="510" t="str">
        <x:v>Monthly construction draw; full funding timeline at left.</x:v>
      </x:c>
    </x:row>
    <x:row r="221" ht="17.110000610351562" hidden="0" customHeight="1">
      <x:c r="P221" s="597" t="str">
        <x:v>TOTAL</x:v>
      </x:c>
      <x:c r="Q221" s="1037" t="n">
        <x:f>D33</x:f>
        <x:v>194900000.00000006</x:v>
      </x:c>
      <x:c r="R221" s="599" t="str">
        <x:v>Construction tab</x:v>
      </x:c>
      <x:c r="S221" s="599" t="str"/>
    </x:row>
    <x:row r="222" ht="2" customHeight="1">
      <x:c r="P222" s="509"/>
      <x:c r="Q222" s="512"/>
      <x:c r="R222" s="510"/>
      <x:c r="S222" s="510"/>
    </x:row>
    <x:row r="223" ht="2" customHeight="1">
      <x:c r="P223" s="509"/>
      <x:c r="Q223" s="512"/>
      <x:c r="R223" s="510"/>
      <x:c r="S223" s="510"/>
    </x:row>
    <x:row r="224" ht="2" customHeight="1">
      <x:c r="P224" s="509"/>
      <x:c r="Q224" s="512"/>
      <x:c r="R224" s="510"/>
      <x:c r="S224" s="510"/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10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9:J39"/>
    <x:mergeCell ref="C40:J40"/>
    <x:mergeCell ref="C41:J41"/>
    <x:mergeCell ref="C3:J3"/>
    <x:mergeCell ref="C4:J4"/>
    <x:mergeCell ref="C5:J5"/>
    <x:mergeCell ref="C35:J35"/>
    <x:mergeCell ref="C38:J38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497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498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499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500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501</x:v>
      </x:c>
      <x:c r="D12" s="913" t="n">
        <x:f>Construction!D7</x:f>
        <x:v>48000000</x:v>
      </x:c>
      <x:c r="E12" s="450" t="str">
        <x:v>Construction tab</x:v>
      </x:c>
      <x:c r="F12" s="450" t="s">
        <x:v>502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503</x:v>
      </x:c>
      <x:c r="D13" s="901" t="n">
        <x:f>Construction!E7</x:f>
        <x:v>28800000</x:v>
      </x:c>
      <x:c r="E13" s="453" t="str">
        <x:v>Construction tab</x:v>
      </x:c>
      <x:c r="F13" s="453" t="s">
        <x:v>504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505</x:v>
      </x:c>
      <x:c r="D14" s="913" t="n">
        <x:f>Construction!I7</x:f>
        <x:v>20369400</x:v>
      </x:c>
      <x:c r="E14" s="450" t="str">
        <x:v>Construction tab</x:v>
      </x:c>
      <x:c r="F14" s="450" t="s">
        <x:v>506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507</x:v>
      </x:c>
      <x:c r="D15" s="901" t="n">
        <x:f>Construction!D8</x:f>
        <x:v>6120833.333333333</x:v>
      </x:c>
      <x:c r="E15" s="453" t="str">
        <x:v>Construction tab</x:v>
      </x:c>
      <x:c r="F15" s="453" t="s">
        <x:v>508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509</x:v>
      </x:c>
      <x:c r="D16" s="932" t="n">
        <x:f>Construction!G8</x:f>
        <x:v>204241.66666666666</x:v>
      </x:c>
      <x:c r="E16" s="450" t="str">
        <x:v>Construction tab</x:v>
      </x:c>
      <x:c r="F16" s="450" t="s">
        <x:v>510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511</x:v>
      </x:c>
      <x:c r="D17" s="933" t="n">
        <x:f>Construction!G13</x:f>
        <x:v>326658.3333333333</x:v>
      </x:c>
      <x:c r="E17" s="453" t="str">
        <x:v>Construction tab</x:v>
      </x:c>
      <x:c r="F17" s="453" t="s">
        <x:v>512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513</x:v>
      </x:c>
      <x:c r="D18" s="932" t="n">
        <x:f>Construction!G19</x:f>
        <x:v>473558.3333333333</x:v>
      </x:c>
      <x:c r="E18" s="450" t="str">
        <x:v>Construction tab</x:v>
      </x:c>
      <x:c r="F18" s="450" t="s">
        <x:v>514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515</x:v>
      </x:c>
      <x:c r="D19" s="933" t="n">
        <x:f>Construction!G25</x:f>
        <x:v>620458.3333333334</x:v>
      </x:c>
      <x:c r="E19" s="453" t="str">
        <x:v>Construction tab</x:v>
      </x:c>
      <x:c r="F19" s="453" t="s">
        <x:v>516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517</x:v>
      </x:c>
      <x:c r="D20" s="932" t="n">
        <x:f>Construction!G31</x:f>
        <x:v>767358.3333333334</x:v>
      </x:c>
      <x:c r="E20" s="450" t="str">
        <x:v>Construction tab</x:v>
      </x:c>
      <x:c r="F20" s="450" t="s">
        <x:v>518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5" customHeight="1">
      <x:c r="A21" s="4"/>
      <x:c r="B21" s="5"/>
      <x:c r="C21" s="641" t="s">
        <x:v>519</x:v>
      </x:c>
      <x:c r="D21" s="977"/>
      <x:c r="E21" s="642"/>
      <x:c r="F21" s="642"/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520</x:v>
      </x:c>
      <x:c r="D22" s="913" t="n">
        <x:f>Construction!D33</x:f>
        <x:v>194900000.00000006</x:v>
      </x:c>
      <x:c r="E22" s="450" t="str">
        <x:v>Construction tab</x:v>
      </x:c>
      <x:c r="F22" s="450" t="str">
        <x:v>Reconciles to Development tab.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521</x:v>
      </x:c>
      <x:c r="D23" s="901" t="n">
        <x:f>Construction!E33</x:f>
        <x:v>116940000</x:v>
      </x:c>
      <x:c r="E23" s="453" t="str">
        <x:v>Construction tab</x:v>
      </x:c>
      <x:c r="F23" s="453" t="str">
        <x:v>Reconciles to Development tab.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522</x:v>
      </x:c>
      <x:c r="D24" s="913" t="n">
        <x:f>Construction!G33</x:f>
        <x:v>11659200.000000002</x:v>
      </x:c>
      <x:c r="E24" s="450" t="str">
        <x:v>Construction tab</x:v>
      </x:c>
      <x:c r="F24" s="450" t="str">
        <x:v>Reconciles to Development tab.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304</x:v>
      </x:c>
      <x:c r="D25" s="901" t="n">
        <x:f>Construction!H33</x:f>
        <x:v>1169400</x:v>
      </x:c>
      <x:c r="E25" s="453" t="str">
        <x:v>Construction tab</x:v>
      </x:c>
      <x:c r="F25" s="453" t="s">
        <x:v>523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524</x:v>
      </x:c>
      <x:c r="D26" s="913" t="n">
        <x:f>Construction!I33</x:f>
        <x:v>90788600</x:v>
      </x:c>
      <x:c r="E26" s="450" t="str">
        <x:v>Construction tab</x:v>
      </x:c>
      <x:c r="F26" s="450" t="str">
        <x:v>Reconciles to Development tab.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525</x:v>
      </x:c>
      <x:c r="D27" s="901" t="n">
        <x:f>Construction!J31</x:f>
        <x:v>116940000</x:v>
      </x:c>
      <x:c r="E27" s="453" t="str">
        <x:v>Construction tab</x:v>
      </x:c>
      <x:c r="F27" s="453" t="s">
        <x:v>526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5" customHeight="1">
      <x:c r="A28" s="4"/>
      <x:c r="B28" s="5"/>
      <x:c r="C28" s="641" t="s">
        <x:v>527</x:v>
      </x:c>
      <x:c r="D28" s="977"/>
      <x:c r="E28" s="642"/>
      <x:c r="F28" s="642"/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tr">
        <x:v>Base interest — cross-reference</x:v>
      </x:c>
      <x:c r="D29" s="897">
        <x:v>11659200.000000002</x:v>
      </x:c>
      <x:c r="E29" s="453" t="str">
        <x:v>Construction tab</x:v>
      </x:c>
      <x:c r="F29" s="453" t="str">
        <x:v>Repeats base construction interest; not extra delay.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tr">
        <x:v>Eligible cost — cross-reference</x:v>
      </x:c>
      <x:c r="D30" s="895">
        <x:v>194900000.00000006</x:v>
      </x:c>
      <x:c r="E30" s="450" t="str">
        <x:v>Construction tab</x:v>
      </x:c>
      <x:c r="F30" s="450" t="str">
        <x:v>Repeats pre-finance cost; not an added use.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9" customHeight="1">
      <x:c r="A31" s="4"/>
      <x:c r="B31" s="5"/>
      <x:c r="C31" s="454"/>
      <x:c r="D31" s="979"/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 ht="22.200000762939453" customHeight="1">
      <x:c r="A32" s="7"/>
      <x:c r="B32" s="8"/>
      <x:c r="C32" s="621" t="s">
        <x:v>233</x:v>
      </x:c>
      <x:c r="D32" s="979"/>
      <x:c r="E32" s="453"/>
      <x:c r="F32" s="453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04  |  DELIVERY SCHEDULE &amp; INTEREST CARRY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How does the construction calendar determine the cash need?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Power delivery, capital draws and first billable rent must be analyzed on the same calendar.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CONSTRUCTION DRAWS | BASE-CASE FINANCING</x:v>
      </x:c>
      <x:c r="Q211" s="1047"/>
      <x:c r="R211" s="685" t="str"/>
      <x:c r="S211" s="685" t="str"/>
    </x:row>
    <x:row r="212" ht="17.110000610351562" hidden="0" customHeight="1">
      <x:c r="P212" s="509" t="str">
        <x:v>Month 0 | land &amp; eligible uses</x:v>
      </x:c>
      <x:c r="Q212" s="1036" t="n">
        <x:f>E04_Construction!D12</x:f>
        <x:v>48000000</x:v>
      </x:c>
      <x:c r="R212" s="510" t="str">
        <x:v>Construction tab</x:v>
      </x:c>
      <x:c r="S212" s="510" t="str">
        <x:v>Land purchase at model start.</x:v>
      </x:c>
    </x:row>
    <x:row r="213" ht="17.110000610351562" hidden="0" customHeight="1">
      <x:c r="P213" s="597" t="str">
        <x:v>Month 0 | debt draw</x:v>
      </x:c>
      <x:c r="Q213" s="1037" t="n">
        <x:f>E04_Construction!D13</x:f>
        <x:v>28800000</x:v>
      </x:c>
      <x:c r="R213" s="599" t="str">
        <x:v>Construction tab</x:v>
      </x:c>
      <x:c r="S213" s="599" t="str">
        <x:v>Initial loan funding.</x:v>
      </x:c>
    </x:row>
    <x:row r="214" ht="17.110000610351562" hidden="0" customHeight="1">
      <x:c r="P214" s="509" t="str">
        <x:v>Month 0 | developer equity</x:v>
      </x:c>
      <x:c r="Q214" s="1036" t="n">
        <x:f>E04_Construction!D14</x:f>
        <x:v>20369400</x:v>
      </x:c>
      <x:c r="R214" s="510" t="str">
        <x:v>Construction tab</x:v>
      </x:c>
      <x:c r="S214" s="510" t="str">
        <x:v>Land and loan fee cash.</x:v>
      </x:c>
    </x:row>
    <x:row r="215" ht="17.110000610351562" hidden="0" customHeight="1">
      <x:c r="P215" s="597" t="str">
        <x:v>Month 1 | eligible uses</x:v>
      </x:c>
      <x:c r="Q215" s="1037" t="n">
        <x:f>E04_Construction!D15</x:f>
        <x:v>6120833.333333333</x:v>
      </x:c>
      <x:c r="R215" s="599" t="str">
        <x:v>Construction tab</x:v>
      </x:c>
      <x:c r="S215" s="599" t="str">
        <x:v>Model assumes level draws.</x:v>
      </x:c>
    </x:row>
    <x:row r="216" ht="17.110000610351562" hidden="0" customHeight="1">
      <x:c r="P216" s="509" t="str">
        <x:v>Month 1 | interest</x:v>
      </x:c>
      <x:c r="Q216" s="1077" t="n">
        <x:f>E04_Construction!D16</x:f>
        <x:v>204241.66666666666</x:v>
      </x:c>
      <x:c r="R216" s="510" t="str">
        <x:v>Construction tab</x:v>
      </x:c>
      <x:c r="S216" s="510" t="str">
        <x:v>Opening balance plus half current draw.</x:v>
      </x:c>
    </x:row>
    <x:row r="217" ht="17.110000610351562" hidden="0" customHeight="1">
      <x:c r="P217" s="597" t="str">
        <x:v>Month 6 | interest</x:v>
      </x:c>
      <x:c r="Q217" s="1078" t="n">
        <x:f>E04_Construction!D17</x:f>
        <x:v>326658.3333333333</x:v>
      </x:c>
      <x:c r="R217" s="599" t="str">
        <x:v>Construction tab</x:v>
      </x:c>
      <x:c r="S217" s="599" t="str">
        <x:v>Interest rises with outstanding debt.</x:v>
      </x:c>
    </x:row>
    <x:row r="218" ht="17.110000610351562" hidden="0" customHeight="1">
      <x:c r="P218" s="509" t="str">
        <x:v>Month 12 | interest</x:v>
      </x:c>
      <x:c r="Q218" s="1077" t="n">
        <x:f>E04_Construction!D18</x:f>
        <x:v>473558.3333333333</x:v>
      </x:c>
      <x:c r="R218" s="510" t="str">
        <x:v>Construction tab</x:v>
      </x:c>
      <x:c r="S218" s="510" t="str">
        <x:v>Debt increases through construction.</x:v>
      </x:c>
    </x:row>
    <x:row r="219" ht="17.110000610351562" hidden="0" customHeight="1">
      <x:c r="P219" s="597" t="str">
        <x:v>Month 18 | interest</x:v>
      </x:c>
      <x:c r="Q219" s="1078" t="n">
        <x:f>E04_Construction!D19</x:f>
        <x:v>620458.3333333334</x:v>
      </x:c>
      <x:c r="R219" s="599" t="str">
        <x:v>Construction tab</x:v>
      </x:c>
      <x:c r="S219" s="599" t="str">
        <x:v>Not a contractor schedule.</x:v>
      </x:c>
    </x:row>
    <x:row r="220" ht="17.110000610351562" hidden="0" customHeight="1">
      <x:c r="P220" s="509" t="str">
        <x:v>Month 24 | interest</x:v>
      </x:c>
      <x:c r="Q220" s="1077" t="n">
        <x:f>E04_Construction!D20</x:f>
        <x:v>767358.3333333334</x:v>
      </x:c>
      <x:c r="R220" s="510" t="str">
        <x:v>Construction tab</x:v>
      </x:c>
      <x:c r="S220" s="510" t="str">
        <x:v>Final build-month interest.</x:v>
      </x:c>
    </x:row>
    <x:row r="221" ht="16" hidden="0" customHeight="1">
      <x:c r="P221" s="684" t="str">
        <x:v>TOTALS | SOURCE CHECK</x:v>
      </x:c>
      <x:c r="Q221" s="1047"/>
      <x:c r="R221" s="685" t="str"/>
      <x:c r="S221" s="685" t="str"/>
    </x:row>
    <x:row r="222" ht="17.110000610351562" hidden="0" customHeight="1">
      <x:c r="P222" s="509" t="str">
        <x:v>Total eligible uses</x:v>
      </x:c>
      <x:c r="Q222" s="1036" t="n">
        <x:f>E04_Construction!D22</x:f>
        <x:v>194900000.00000006</x:v>
      </x:c>
      <x:c r="R222" s="510" t="str">
        <x:v>Construction tab</x:v>
      </x:c>
      <x:c r="S222" s="510" t="str">
        <x:v>Reconciles to Development tab.</x:v>
      </x:c>
    </x:row>
    <x:row r="223" ht="17.110000610351562" hidden="0" customHeight="1">
      <x:c r="P223" s="597" t="str">
        <x:v>Total loan draws</x:v>
      </x:c>
      <x:c r="Q223" s="1037" t="n">
        <x:f>E04_Construction!D23</x:f>
        <x:v>116940000</x:v>
      </x:c>
      <x:c r="R223" s="599" t="str">
        <x:v>Construction tab</x:v>
      </x:c>
      <x:c r="S223" s="599" t="str">
        <x:v>Reconciles to Development tab.</x:v>
      </x:c>
    </x:row>
    <x:row r="224" ht="17.110000610351562" hidden="0" customHeight="1">
      <x:c r="P224" s="509" t="str">
        <x:v>Total interest expense</x:v>
      </x:c>
      <x:c r="Q224" s="1036" t="n">
        <x:f>E04_Construction!D24</x:f>
        <x:v>11659200.000000002</x:v>
      </x:c>
      <x:c r="R224" s="510" t="str">
        <x:v>Construction tab</x:v>
      </x:c>
      <x:c r="S224" s="510" t="str">
        <x:v>Reconciles to Development tab.</x:v>
      </x:c>
    </x:row>
    <x:row r="225" ht="17.110000610351562" hidden="0" customHeight="1">
      <x:c r="P225" s="597" t="str">
        <x:v>Loan origination fee</x:v>
      </x:c>
      <x:c r="Q225" s="1037" t="n">
        <x:f>E04_Construction!D25</x:f>
        <x:v>1169400</x:v>
      </x:c>
      <x:c r="R225" s="599" t="str">
        <x:v>Construction tab</x:v>
      </x:c>
      <x:c r="S225" s="599" t="str">
        <x:v>Equity funded.</x:v>
      </x:c>
    </x:row>
    <x:row r="226" ht="17.110000610351562" hidden="0" customHeight="1">
      <x:c r="P226" s="509" t="str">
        <x:v>Total developer equity</x:v>
      </x:c>
      <x:c r="Q226" s="1036" t="n">
        <x:f>E04_Construction!D26</x:f>
        <x:v>90788600</x:v>
      </x:c>
      <x:c r="R226" s="510" t="str">
        <x:v>Construction tab</x:v>
      </x:c>
      <x:c r="S226" s="510" t="str">
        <x:v>Reconciles to Development tab.</x:v>
      </x:c>
    </x:row>
    <x:row r="227" ht="17.110000610351562" hidden="0" customHeight="1">
      <x:c r="P227" s="597" t="str">
        <x:v>End-of-construction principal</x:v>
      </x:c>
      <x:c r="Q227" s="1037" t="n">
        <x:f>E04_Construction!D27</x:f>
        <x:v>116940000</x:v>
      </x:c>
      <x:c r="R227" s="599" t="str">
        <x:v>Construction tab</x:v>
      </x:c>
      <x:c r="S227" s="599" t="str">
        <x:v>Repayment at assumed exit.</x:v>
      </x:c>
    </x:row>
    <x:row r="228" ht="16" hidden="0" customHeight="1">
      <x:c r="P228" s="684" t="str">
        <x:v>CONTROL POINT: COMMISSIONING</x:v>
      </x:c>
      <x:c r="Q228" s="1047"/>
      <x:c r="R228" s="685" t="str"/>
      <x:c r="S228" s="685" t="str"/>
    </x:row>
    <x:row r="229" ht="17.110000610351562" hidden="0" customHeight="1">
      <x:c r="P229" s="597" t="str">
        <x:v>Base interest — cross-reference</x:v>
      </x:c>
      <x:c r="Q229" s="1160" t="n">
        <x:v>11659200.000000002</x:v>
      </x:c>
      <x:c r="R229" s="599" t="str">
        <x:v>Construction tab</x:v>
      </x:c>
      <x:c r="S229" s="599" t="str">
        <x:v>Repeats base construction interest; not extra delay.</x:v>
      </x:c>
    </x:row>
    <x:row r="230" ht="17.110000610351562" hidden="0" customHeight="1">
      <x:c r="P230" s="509" t="str">
        <x:v>Eligible cost — cross-reference</x:v>
      </x:c>
      <x:c r="Q230" s="1161" t="n">
        <x:v>194900000.00000006</x:v>
      </x:c>
      <x:c r="R230" s="510" t="str">
        <x:v>Construction tab</x:v>
      </x:c>
      <x:c r="S230" s="510" t="str">
        <x:v>Repeats pre-finance cost; not an added use.</x:v>
      </x:c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11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8:F28"/>
    <x:mergeCell ref="C32:F32"/>
    <x:mergeCell ref="C3:D3"/>
    <x:mergeCell ref="C4:F4"/>
    <x:mergeCell ref="C5:F5"/>
    <x:mergeCell ref="C7:F7"/>
    <x:mergeCell ref="C11:F11"/>
    <x:mergeCell ref="C21:F21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1:S221"/>
    <x:mergeCell ref="P228:S228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37.4609375" customWidth="1"/>
    <x:col min="4" max="14" width="11.76562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</x:row>
    <x:row r="2" ht="12" customHeight="1">
      <x:c r="A2" s="4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6"/>
    </x:row>
    <x:row r="3" ht="34" customHeight="1">
      <x:c r="A3" s="4"/>
      <x:c r="B3" s="5"/>
      <x:c r="C3" s="617" t="s">
        <x:v>528</x:v>
      </x:c>
      <x:c r="D3" s="618"/>
      <x:c r="E3" s="618"/>
      <x:c r="F3" s="618"/>
      <x:c r="G3" s="618"/>
      <x:c r="H3" s="618"/>
      <x:c r="I3" s="618"/>
      <x:c r="J3" s="618"/>
      <x:c r="K3" s="618"/>
      <x:c r="L3" s="618"/>
      <x:c r="M3" s="618"/>
      <x:c r="N3" s="618"/>
    </x:row>
    <x:row r="4" ht="32.04999923706055" customHeight="1">
      <x:c r="A4" s="4"/>
      <x:c r="B4" s="5"/>
      <x:c r="C4" s="631" t="s">
        <x:v>529</x:v>
      </x:c>
      <x:c r="D4" s="569"/>
      <x:c r="E4" s="569"/>
      <x:c r="F4" s="569"/>
      <x:c r="G4" s="569"/>
      <x:c r="H4" s="569"/>
      <x:c r="I4" s="569"/>
      <x:c r="J4" s="569"/>
      <x:c r="K4" s="569"/>
      <x:c r="L4" s="569"/>
      <x:c r="M4" s="569"/>
      <x:c r="N4" s="569"/>
    </x:row>
    <x:row r="5" ht="36" customHeight="1">
      <x:c r="A5" s="4"/>
      <x:c r="B5" s="5"/>
      <x:c r="C5" s="632" t="s">
        <x:v>530</x:v>
      </x:c>
      <x:c r="D5" s="633"/>
      <x:c r="E5" s="633"/>
      <x:c r="F5" s="633"/>
      <x:c r="G5" s="633"/>
      <x:c r="H5" s="633"/>
      <x:c r="I5" s="633"/>
      <x:c r="J5" s="633"/>
      <x:c r="K5" s="633"/>
      <x:c r="L5" s="633"/>
      <x:c r="M5" s="633"/>
      <x:c r="N5" s="633"/>
    </x:row>
    <x:row r="6" ht="34" customHeight="1">
      <x:c r="A6" s="4"/>
      <x:c r="B6" s="5"/>
      <x:c r="C6" s="622" t="s">
        <x:v>531</x:v>
      </x:c>
      <x:c r="D6" s="909">
        <x:v>1</x:v>
      </x:c>
      <x:c r="E6" s="909">
        <x:v>2</x:v>
      </x:c>
      <x:c r="F6" s="909">
        <x:v>3</x:v>
      </x:c>
      <x:c r="G6" s="909">
        <x:v>4</x:v>
      </x:c>
      <x:c r="H6" s="909">
        <x:v>5</x:v>
      </x:c>
      <x:c r="I6" s="909">
        <x:v>6</x:v>
      </x:c>
      <x:c r="J6" s="909">
        <x:v>7</x:v>
      </x:c>
      <x:c r="K6" s="909">
        <x:v>8</x:v>
      </x:c>
      <x:c r="L6" s="909">
        <x:v>9</x:v>
      </x:c>
      <x:c r="M6" s="909">
        <x:v>10</x:v>
      </x:c>
      <x:c r="N6" s="909">
        <x:v>11</x:v>
      </x:c>
    </x:row>
    <x:row r="7" ht="22.75" customHeight="1">
      <x:c r="A7" s="4"/>
      <x:c r="B7" s="5"/>
      <x:c r="C7" s="454" t="s">
        <x:v>532</x:v>
      </x:c>
      <x:c r="D7" s="911" t="n">
        <x:f>Inputs!$D$7*Inputs!$D$20</x:f>
        <x:v>10</x:v>
      </x:c>
      <x:c r="E7" s="911" t="n">
        <x:f>Inputs!$D$7*Inputs!$D$20</x:f>
        <x:v>10</x:v>
      </x:c>
      <x:c r="F7" s="911" t="n">
        <x:f>Inputs!$D$7*Inputs!$D$20</x:f>
        <x:v>10</x:v>
      </x:c>
      <x:c r="G7" s="911" t="n">
        <x:f>Inputs!$D$7*Inputs!$D$20</x:f>
        <x:v>10</x:v>
      </x:c>
      <x:c r="H7" s="911" t="n">
        <x:f>Inputs!$D$7*Inputs!$D$20</x:f>
        <x:v>10</x:v>
      </x:c>
      <x:c r="I7" s="911" t="n">
        <x:f>Inputs!$D$7*Inputs!$D$20</x:f>
        <x:v>10</x:v>
      </x:c>
      <x:c r="J7" s="911" t="n">
        <x:f>Inputs!$D$7*Inputs!$D$20</x:f>
        <x:v>10</x:v>
      </x:c>
      <x:c r="K7" s="911" t="n">
        <x:f>Inputs!$D$7*Inputs!$D$20</x:f>
        <x:v>10</x:v>
      </x:c>
      <x:c r="L7" s="911" t="n">
        <x:f>Inputs!$D$7*Inputs!$D$20</x:f>
        <x:v>10</x:v>
      </x:c>
      <x:c r="M7" s="911" t="n">
        <x:f>Inputs!$D$7*Inputs!$D$20</x:f>
        <x:v>10</x:v>
      </x:c>
      <x:c r="N7" s="911" t="n">
        <x:f>Inputs!$D$7*Inputs!$D$20</x:f>
        <x:v>10</x:v>
      </x:c>
    </x:row>
    <x:row r="8" ht="22.75" customHeight="1">
      <x:c r="A8" s="4"/>
      <x:c r="B8" s="5"/>
      <x:c r="C8" s="451" t="s">
        <x:v>533</x:v>
      </x:c>
      <x:c r="D8" s="480" t="n">
        <x:f>Inputs!$D$19*(1+Inputs!$D$21)^(D$6-1)</x:f>
        <x:v>225</x:v>
      </x:c>
      <x:c r="E8" s="480" t="n">
        <x:f>Inputs!$D$19*(1+Inputs!$D$21)^(E$6-1)</x:f>
        <x:v>230.62499999999997</x:v>
      </x:c>
      <x:c r="F8" s="480" t="n">
        <x:f>Inputs!$D$19*(1+Inputs!$D$21)^(F$6-1)</x:f>
        <x:v>236.39062499999997</x:v>
      </x:c>
      <x:c r="G8" s="480" t="n">
        <x:f>Inputs!$D$19*(1+Inputs!$D$21)^(G$6-1)</x:f>
        <x:v>242.30039062499998</x:v>
      </x:c>
      <x:c r="H8" s="480" t="n">
        <x:f>Inputs!$D$19*(1+Inputs!$D$21)^(H$6-1)</x:f>
        <x:v>248.35790039062493</x:v>
      </x:c>
      <x:c r="I8" s="480" t="n">
        <x:f>Inputs!$D$19*(1+Inputs!$D$21)^(I$6-1)</x:f>
        <x:v>254.56684790039054</x:v>
      </x:c>
      <x:c r="J8" s="480" t="n">
        <x:f>Inputs!$D$19*(1+Inputs!$D$21)^(J$6-1)</x:f>
        <x:v>260.9310190979003</x:v>
      </x:c>
      <x:c r="K8" s="480" t="n">
        <x:f>Inputs!$D$19*(1+Inputs!$D$21)^(K$6-1)</x:f>
        <x:v>267.45429457534783</x:v>
      </x:c>
      <x:c r="L8" s="480" t="n">
        <x:f>Inputs!$D$19*(1+Inputs!$D$21)^(L$6-1)</x:f>
        <x:v>274.14065193973147</x:v>
      </x:c>
      <x:c r="M8" s="480" t="n">
        <x:f>Inputs!$D$19*(1+Inputs!$D$21)^(M$6-1)</x:f>
        <x:v>280.99416823822474</x:v>
      </x:c>
      <x:c r="N8" s="480" t="n">
        <x:f>Inputs!$D$19*(1+Inputs!$D$21)^(N$6-1)</x:f>
        <x:v>288.01902244418034</x:v>
      </x:c>
    </x:row>
    <x:row r="9" ht="22.75" customHeight="1">
      <x:c r="A9" s="4"/>
      <x:c r="B9" s="5"/>
      <x:c r="C9" s="454" t="s">
        <x:v>534</x:v>
      </x:c>
      <x:c r="D9" s="901" t="n">
        <x:f>D7*Inputs!$D$8*D8*Inputs!$D$16</x:f>
        <x:v>27000000</x:v>
      </x:c>
      <x:c r="E9" s="901" t="n">
        <x:f>E7*Inputs!$D$8*E8*Inputs!$D$16</x:f>
        <x:v>27674999.999999993</x:v>
      </x:c>
      <x:c r="F9" s="901" t="n">
        <x:f>F7*Inputs!$D$8*F8*Inputs!$D$16</x:f>
        <x:v>28366874.999999993</x:v>
      </x:c>
      <x:c r="G9" s="901" t="n">
        <x:f>G7*Inputs!$D$8*G8*Inputs!$D$16</x:f>
        <x:v>29076046.875</x:v>
      </x:c>
      <x:c r="H9" s="901" t="n">
        <x:f>H7*Inputs!$D$8*H8*Inputs!$D$16</x:f>
        <x:v>29802948.046874993</x:v>
      </x:c>
      <x:c r="I9" s="901" t="n">
        <x:f>I7*Inputs!$D$8*I8*Inputs!$D$16</x:f>
        <x:v>30548021.748046864</x:v>
      </x:c>
      <x:c r="J9" s="901" t="n">
        <x:f>J7*Inputs!$D$8*J8*Inputs!$D$16</x:f>
        <x:v>31311722.291748036</x:v>
      </x:c>
      <x:c r="K9" s="901" t="n">
        <x:f>K7*Inputs!$D$8*K8*Inputs!$D$16</x:f>
        <x:v>32094515.34904174</x:v>
      </x:c>
      <x:c r="L9" s="901" t="n">
        <x:f>L7*Inputs!$D$8*L8*Inputs!$D$16</x:f>
        <x:v>32896878.232767776</x:v>
      </x:c>
      <x:c r="M9" s="901" t="n">
        <x:f>M7*Inputs!$D$8*M8*Inputs!$D$16</x:f>
        <x:v>33719300.188586965</x:v>
      </x:c>
      <x:c r="N9" s="901" t="n">
        <x:f>N7*Inputs!$D$8*N8*Inputs!$D$16</x:f>
        <x:v>34562282.69330164</x:v>
      </x:c>
    </x:row>
    <x:row r="10" ht="22.75" customHeight="1">
      <x:c r="A10" s="4"/>
      <x:c r="B10" s="5"/>
      <x:c r="C10" s="451" t="s">
        <x:v>535</x:v>
      </x:c>
      <x:c r="D10" s="913" t="n">
        <x:f>Power!$D$18*(1+Inputs!$D$23)^(D$6-1)</x:f>
        <x:v>16101230.4</x:v>
      </x:c>
      <x:c r="E10" s="913" t="n">
        <x:f>Power!$D$18*(1+Inputs!$D$23)^(E$6-1)</x:f>
        <x:v>16423255.008000001</x:v>
      </x:c>
      <x:c r="F10" s="913" t="n">
        <x:f>Power!$D$18*(1+Inputs!$D$23)^(F$6-1)</x:f>
        <x:v>16751720.10816</x:v>
      </x:c>
      <x:c r="G10" s="913" t="n">
        <x:f>Power!$D$18*(1+Inputs!$D$23)^(G$6-1)</x:f>
        <x:v>17086754.5103232</x:v>
      </x:c>
      <x:c r="H10" s="913" t="n">
        <x:f>Power!$D$18*(1+Inputs!$D$23)^(H$6-1)</x:f>
        <x:v>17428489.600529663</x:v>
      </x:c>
      <x:c r="I10" s="913" t="n">
        <x:f>Power!$D$18*(1+Inputs!$D$23)^(I$6-1)</x:f>
        <x:v>17777059.392540257</x:v>
      </x:c>
      <x:c r="J10" s="913" t="n">
        <x:f>Power!$D$18*(1+Inputs!$D$23)^(J$6-1)</x:f>
        <x:v>18132600.580391064</x:v>
      </x:c>
      <x:c r="K10" s="913" t="n">
        <x:f>Power!$D$18*(1+Inputs!$D$23)^(K$6-1)</x:f>
        <x:v>18495252.591998883</x:v>
      </x:c>
      <x:c r="L10" s="913" t="n">
        <x:f>Power!$D$18*(1+Inputs!$D$23)^(L$6-1)</x:f>
        <x:v>18865157.64383886</x:v>
      </x:c>
      <x:c r="M10" s="913" t="n">
        <x:f>Power!$D$18*(1+Inputs!$D$23)^(M$6-1)</x:f>
        <x:v>19242460.79671564</x:v>
      </x:c>
      <x:c r="N10" s="913" t="n">
        <x:f>Power!$D$18*(1+Inputs!$D$23)^(N$6-1)</x:f>
        <x:v>19627310.01264995</x:v>
      </x:c>
    </x:row>
    <x:row r="11" ht="22.75" customHeight="1">
      <x:c r="A11" s="4"/>
      <x:c r="B11" s="5"/>
      <x:c r="C11" s="644" t="s">
        <x:v>536</x:v>
      </x:c>
      <x:c r="D11" s="899" t="n">
        <x:f>SUM(D9:D10)</x:f>
        <x:v>43101230.4</x:v>
      </x:c>
      <x:c r="E11" s="899" t="n">
        <x:f>SUM(E9:E10)</x:f>
        <x:v>44098255.007999994</x:v>
      </x:c>
      <x:c r="F11" s="899" t="n">
        <x:f>SUM(F9:F10)</x:f>
        <x:v>45118595.10815999</x:v>
      </x:c>
      <x:c r="G11" s="899" t="n">
        <x:f>SUM(G9:G10)</x:f>
        <x:v>46162801.3853232</x:v>
      </x:c>
      <x:c r="H11" s="899" t="n">
        <x:f>SUM(H9:H10)</x:f>
        <x:v>47231437.647404656</x:v>
      </x:c>
      <x:c r="I11" s="899" t="n">
        <x:f>SUM(I9:I10)</x:f>
        <x:v>48325081.14058712</x:v>
      </x:c>
      <x:c r="J11" s="899" t="n">
        <x:f>SUM(J9:J10)</x:f>
        <x:v>49444322.872139096</x:v>
      </x:c>
      <x:c r="K11" s="899" t="n">
        <x:f>SUM(K9:K10)</x:f>
        <x:v>50589767.94104062</x:v>
      </x:c>
      <x:c r="L11" s="899" t="n">
        <x:f>SUM(L9:L10)</x:f>
        <x:v>51762035.876606636</x:v>
      </x:c>
      <x:c r="M11" s="899" t="n">
        <x:f>SUM(M9:M10)</x:f>
        <x:v>52961760.985302605</x:v>
      </x:c>
      <x:c r="N11" s="899" t="n">
        <x:f>SUM(N9:N10)</x:f>
        <x:v>54189592.70595159</x:v>
      </x:c>
    </x:row>
    <x:row r="12" ht="9" customHeight="1">
      <x:c r="A12" s="4"/>
      <x:c r="B12" s="5"/>
      <x:c r="C12" s="454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</x:row>
    <x:row r="13" ht="22.75" customHeight="1">
      <x:c r="A13" s="4"/>
      <x:c r="B13" s="5"/>
      <x:c r="C13" s="454" t="s">
        <x:v>537</x:v>
      </x:c>
      <x:c r="D13" s="897" t="n">
        <x:f>-D10</x:f>
        <x:v>-16101230.4</x:v>
      </x:c>
      <x:c r="E13" s="897" t="n">
        <x:f>-E10</x:f>
        <x:v>-16423255.008000001</x:v>
      </x:c>
      <x:c r="F13" s="897" t="n">
        <x:f>-F10</x:f>
        <x:v>-16751720.10816</x:v>
      </x:c>
      <x:c r="G13" s="897" t="n">
        <x:f>-G10</x:f>
        <x:v>-17086754.5103232</x:v>
      </x:c>
      <x:c r="H13" s="897" t="n">
        <x:f>-H10</x:f>
        <x:v>-17428489.600529663</x:v>
      </x:c>
      <x:c r="I13" s="897" t="n">
        <x:f>-I10</x:f>
        <x:v>-17777059.392540257</x:v>
      </x:c>
      <x:c r="J13" s="897" t="n">
        <x:f>-J10</x:f>
        <x:v>-18132600.580391064</x:v>
      </x:c>
      <x:c r="K13" s="897" t="n">
        <x:f>-K10</x:f>
        <x:v>-18495252.591998883</x:v>
      </x:c>
      <x:c r="L13" s="897" t="n">
        <x:f>-L10</x:f>
        <x:v>-18865157.64383886</x:v>
      </x:c>
      <x:c r="M13" s="897" t="n">
        <x:f>-M10</x:f>
        <x:v>-19242460.79671564</x:v>
      </x:c>
      <x:c r="N13" s="897" t="n">
        <x:f>-N10</x:f>
        <x:v>-19627310.01264995</x:v>
      </x:c>
    </x:row>
    <x:row r="14" ht="22.75" customHeight="1">
      <x:c r="A14" s="4"/>
      <x:c r="B14" s="5"/>
      <x:c r="C14" s="451" t="s">
        <x:v>538</x:v>
      </x:c>
      <x:c r="D14" s="913" t="n">
        <x:f>-Inputs!$D$54*(1+Inputs!$D$22)^(D$6-1)</x:f>
        <x:v>-2400000</x:v>
      </x:c>
      <x:c r="E14" s="913" t="n">
        <x:f>-Inputs!$D$54*(1+Inputs!$D$22)^(E$6-1)</x:f>
        <x:v>-2472000</x:v>
      </x:c>
      <x:c r="F14" s="913" t="n">
        <x:f>-Inputs!$D$54*(1+Inputs!$D$22)^(F$6-1)</x:f>
        <x:v>-2546160</x:v>
      </x:c>
      <x:c r="G14" s="913" t="n">
        <x:f>-Inputs!$D$54*(1+Inputs!$D$22)^(G$6-1)</x:f>
        <x:v>-2622544.8</x:v>
      </x:c>
      <x:c r="H14" s="913" t="n">
        <x:f>-Inputs!$D$54*(1+Inputs!$D$22)^(H$6-1)</x:f>
        <x:v>-2701221.144</x:v>
      </x:c>
      <x:c r="I14" s="913" t="n">
        <x:f>-Inputs!$D$54*(1+Inputs!$D$22)^(I$6-1)</x:f>
        <x:v>-2782257.7783199996</x:v>
      </x:c>
      <x:c r="J14" s="913" t="n">
        <x:f>-Inputs!$D$54*(1+Inputs!$D$22)^(J$6-1)</x:f>
        <x:v>-2865725.5116696</x:v>
      </x:c>
      <x:c r="K14" s="913" t="n">
        <x:f>-Inputs!$D$54*(1+Inputs!$D$22)^(K$6-1)</x:f>
        <x:v>-2951697.277019688</x:v>
      </x:c>
      <x:c r="L14" s="913" t="n">
        <x:f>-Inputs!$D$54*(1+Inputs!$D$22)^(L$6-1)</x:f>
        <x:v>-3040248.195330278</x:v>
      </x:c>
      <x:c r="M14" s="913" t="n">
        <x:f>-Inputs!$D$54*(1+Inputs!$D$22)^(M$6-1)</x:f>
        <x:v>-3131455.6411901866</x:v>
      </x:c>
      <x:c r="N14" s="913" t="n">
        <x:f>-Inputs!$D$54*(1+Inputs!$D$22)^(N$6-1)</x:f>
        <x:v>-3225399.3104258925</x:v>
      </x:c>
    </x:row>
    <x:row r="15" ht="22.75" customHeight="1">
      <x:c r="A15" s="4"/>
      <x:c r="B15" s="5"/>
      <x:c r="C15" s="454" t="s">
        <x:v>344</x:v>
      </x:c>
      <x:c r="D15" s="901" t="n">
        <x:f>-Inputs!$D$55*(1+Inputs!$D$22)^(D$6-1)</x:f>
        <x:v>-600000</x:v>
      </x:c>
      <x:c r="E15" s="901" t="n">
        <x:f>-Inputs!$D$55*(1+Inputs!$D$22)^(E$6-1)</x:f>
        <x:v>-618000</x:v>
      </x:c>
      <x:c r="F15" s="901" t="n">
        <x:f>-Inputs!$D$55*(1+Inputs!$D$22)^(F$6-1)</x:f>
        <x:v>-636540</x:v>
      </x:c>
      <x:c r="G15" s="901" t="n">
        <x:f>-Inputs!$D$55*(1+Inputs!$D$22)^(G$6-1)</x:f>
        <x:v>-655636.2</x:v>
      </x:c>
      <x:c r="H15" s="901" t="n">
        <x:f>-Inputs!$D$55*(1+Inputs!$D$22)^(H$6-1)</x:f>
        <x:v>-675305.286</x:v>
      </x:c>
      <x:c r="I15" s="901" t="n">
        <x:f>-Inputs!$D$55*(1+Inputs!$D$22)^(I$6-1)</x:f>
        <x:v>-695564.4445799999</x:v>
      </x:c>
      <x:c r="J15" s="901" t="n">
        <x:f>-Inputs!$D$55*(1+Inputs!$D$22)^(J$6-1)</x:f>
        <x:v>-716431.3779174</x:v>
      </x:c>
      <x:c r="K15" s="901" t="n">
        <x:f>-Inputs!$D$55*(1+Inputs!$D$22)^(K$6-1)</x:f>
        <x:v>-737924.319254922</x:v>
      </x:c>
      <x:c r="L15" s="901" t="n">
        <x:f>-Inputs!$D$55*(1+Inputs!$D$22)^(L$6-1)</x:f>
        <x:v>-760062.0488325695</x:v>
      </x:c>
      <x:c r="M15" s="901" t="n">
        <x:f>-Inputs!$D$55*(1+Inputs!$D$22)^(M$6-1)</x:f>
        <x:v>-782863.9102975467</x:v>
      </x:c>
      <x:c r="N15" s="901" t="n">
        <x:f>-Inputs!$D$55*(1+Inputs!$D$22)^(N$6-1)</x:f>
        <x:v>-806349.8276064731</x:v>
      </x:c>
    </x:row>
    <x:row r="16" ht="22.75" customHeight="1">
      <x:c r="A16" s="4"/>
      <x:c r="B16" s="5"/>
      <x:c r="C16" s="451" t="s">
        <x:v>346</x:v>
      </x:c>
      <x:c r="D16" s="913" t="n">
        <x:f>-Inputs!$D$56*(1+Inputs!$D$22)^(D$6-1)</x:f>
        <x:v>-1800000</x:v>
      </x:c>
      <x:c r="E16" s="913" t="n">
        <x:f>-Inputs!$D$56*(1+Inputs!$D$22)^(E$6-1)</x:f>
        <x:v>-1854000</x:v>
      </x:c>
      <x:c r="F16" s="913" t="n">
        <x:f>-Inputs!$D$56*(1+Inputs!$D$22)^(F$6-1)</x:f>
        <x:v>-1909620</x:v>
      </x:c>
      <x:c r="G16" s="913" t="n">
        <x:f>-Inputs!$D$56*(1+Inputs!$D$22)^(G$6-1)</x:f>
        <x:v>-1966908.6</x:v>
      </x:c>
      <x:c r="H16" s="913" t="n">
        <x:f>-Inputs!$D$56*(1+Inputs!$D$22)^(H$6-1)</x:f>
        <x:v>-2025915.8579999998</x:v>
      </x:c>
      <x:c r="I16" s="913" t="n">
        <x:f>-Inputs!$D$56*(1+Inputs!$D$22)^(I$6-1)</x:f>
        <x:v>-2086693.3337399997</x:v>
      </x:c>
      <x:c r="J16" s="913" t="n">
        <x:f>-Inputs!$D$56*(1+Inputs!$D$22)^(J$6-1)</x:f>
        <x:v>-2149294.1337522</x:v>
      </x:c>
      <x:c r="K16" s="913" t="n">
        <x:f>-Inputs!$D$56*(1+Inputs!$D$22)^(K$6-1)</x:f>
        <x:v>-2213772.957764766</x:v>
      </x:c>
      <x:c r="L16" s="913" t="n">
        <x:f>-Inputs!$D$56*(1+Inputs!$D$22)^(L$6-1)</x:f>
        <x:v>-2280186.1464977087</x:v>
      </x:c>
      <x:c r="M16" s="913" t="n">
        <x:f>-Inputs!$D$56*(1+Inputs!$D$22)^(M$6-1)</x:f>
        <x:v>-2348591.73089264</x:v>
      </x:c>
      <x:c r="N16" s="913" t="n">
        <x:f>-Inputs!$D$56*(1+Inputs!$D$22)^(N$6-1)</x:f>
        <x:v>-2419049.4828194194</x:v>
      </x:c>
    </x:row>
    <x:row r="17" ht="22.75" customHeight="1">
      <x:c r="A17" s="4"/>
      <x:c r="B17" s="5"/>
      <x:c r="C17" s="454" t="s">
        <x:v>539</x:v>
      </x:c>
      <x:c r="D17" s="901" t="n">
        <x:f>-Inputs!$D$57*(1+Inputs!$D$22)^(D$6-1)</x:f>
        <x:v>-1200000</x:v>
      </x:c>
      <x:c r="E17" s="901" t="n">
        <x:f>-Inputs!$D$57*(1+Inputs!$D$22)^(E$6-1)</x:f>
        <x:v>-1236000</x:v>
      </x:c>
      <x:c r="F17" s="901" t="n">
        <x:f>-Inputs!$D$57*(1+Inputs!$D$22)^(F$6-1)</x:f>
        <x:v>-1273080</x:v>
      </x:c>
      <x:c r="G17" s="901" t="n">
        <x:f>-Inputs!$D$57*(1+Inputs!$D$22)^(G$6-1)</x:f>
        <x:v>-1311272.4</x:v>
      </x:c>
      <x:c r="H17" s="901" t="n">
        <x:f>-Inputs!$D$57*(1+Inputs!$D$22)^(H$6-1)</x:f>
        <x:v>-1350610.572</x:v>
      </x:c>
      <x:c r="I17" s="901" t="n">
        <x:f>-Inputs!$D$57*(1+Inputs!$D$22)^(I$6-1)</x:f>
        <x:v>-1391128.8891599998</x:v>
      </x:c>
      <x:c r="J17" s="901" t="n">
        <x:f>-Inputs!$D$57*(1+Inputs!$D$22)^(J$6-1)</x:f>
        <x:v>-1432862.7558348</x:v>
      </x:c>
      <x:c r="K17" s="901" t="n">
        <x:f>-Inputs!$D$57*(1+Inputs!$D$22)^(K$6-1)</x:f>
        <x:v>-1475848.638509844</x:v>
      </x:c>
      <x:c r="L17" s="901" t="n">
        <x:f>-Inputs!$D$57*(1+Inputs!$D$22)^(L$6-1)</x:f>
        <x:v>-1520124.097665139</x:v>
      </x:c>
      <x:c r="M17" s="901" t="n">
        <x:f>-Inputs!$D$57*(1+Inputs!$D$22)^(M$6-1)</x:f>
        <x:v>-1565727.8205950933</x:v>
      </x:c>
      <x:c r="N17" s="901" t="n">
        <x:f>-Inputs!$D$57*(1+Inputs!$D$22)^(N$6-1)</x:f>
        <x:v>-1612699.6552129462</x:v>
      </x:c>
    </x:row>
    <x:row r="18" ht="22.75" customHeight="1">
      <x:c r="A18" s="4"/>
      <x:c r="B18" s="5"/>
      <x:c r="C18" s="451" t="s">
        <x:v>540</x:v>
      </x:c>
      <x:c r="D18" s="913" t="n">
        <x:f>-Inputs!$D$58*(1+Inputs!$D$22)^(D$6-1)</x:f>
        <x:v>-500000</x:v>
      </x:c>
      <x:c r="E18" s="913" t="n">
        <x:f>-Inputs!$D$58*(1+Inputs!$D$22)^(E$6-1)</x:f>
        <x:v>-515000</x:v>
      </x:c>
      <x:c r="F18" s="913" t="n">
        <x:f>-Inputs!$D$58*(1+Inputs!$D$22)^(F$6-1)</x:f>
        <x:v>-530450</x:v>
      </x:c>
      <x:c r="G18" s="913" t="n">
        <x:f>-Inputs!$D$58*(1+Inputs!$D$22)^(G$6-1)</x:f>
        <x:v>-546363.5</x:v>
      </x:c>
      <x:c r="H18" s="913" t="n">
        <x:f>-Inputs!$D$58*(1+Inputs!$D$22)^(H$6-1)</x:f>
        <x:v>-562754.4049999999</x:v>
      </x:c>
      <x:c r="I18" s="913" t="n">
        <x:f>-Inputs!$D$58*(1+Inputs!$D$22)^(I$6-1)</x:f>
        <x:v>-579637.0371499999</x:v>
      </x:c>
      <x:c r="J18" s="913" t="n">
        <x:f>-Inputs!$D$58*(1+Inputs!$D$22)^(J$6-1)</x:f>
        <x:v>-597026.1482645</x:v>
      </x:c>
      <x:c r="K18" s="913" t="n">
        <x:f>-Inputs!$D$58*(1+Inputs!$D$22)^(K$6-1)</x:f>
        <x:v>-614936.932712435</x:v>
      </x:c>
      <x:c r="L18" s="913" t="n">
        <x:f>-Inputs!$D$58*(1+Inputs!$D$22)^(L$6-1)</x:f>
        <x:v>-633385.040693808</x:v>
      </x:c>
      <x:c r="M18" s="913" t="n">
        <x:f>-Inputs!$D$58*(1+Inputs!$D$22)^(M$6-1)</x:f>
        <x:v>-652386.5919146222</x:v>
      </x:c>
      <x:c r="N18" s="913" t="n">
        <x:f>-Inputs!$D$58*(1+Inputs!$D$22)^(N$6-1)</x:f>
        <x:v>-671958.1896720609</x:v>
      </x:c>
    </x:row>
    <x:row r="19" ht="22.75" customHeight="1">
      <x:c r="A19" s="4"/>
      <x:c r="B19" s="5"/>
      <x:c r="C19" s="454" t="s">
        <x:v>541</x:v>
      </x:c>
      <x:c r="D19" s="901" t="n">
        <x:f>-Inputs!$D$36*(1+Inputs!$D$22)^(D$6-1)</x:f>
        <x:v>-750000</x:v>
      </x:c>
      <x:c r="E19" s="901" t="n">
        <x:f>-Inputs!$D$36*(1+Inputs!$D$22)^(E$6-1)</x:f>
        <x:v>-772500</x:v>
      </x:c>
      <x:c r="F19" s="901" t="n">
        <x:f>-Inputs!$D$36*(1+Inputs!$D$22)^(F$6-1)</x:f>
        <x:v>-795675</x:v>
      </x:c>
      <x:c r="G19" s="901" t="n">
        <x:f>-Inputs!$D$36*(1+Inputs!$D$22)^(G$6-1)</x:f>
        <x:v>-819545.25</x:v>
      </x:c>
      <x:c r="H19" s="901" t="n">
        <x:f>-Inputs!$D$36*(1+Inputs!$D$22)^(H$6-1)</x:f>
        <x:v>-844131.6074999999</x:v>
      </x:c>
      <x:c r="I19" s="901" t="n">
        <x:f>-Inputs!$D$36*(1+Inputs!$D$22)^(I$6-1)</x:f>
        <x:v>-869455.5557249999</x:v>
      </x:c>
      <x:c r="J19" s="901" t="n">
        <x:f>-Inputs!$D$36*(1+Inputs!$D$22)^(J$6-1)</x:f>
        <x:v>-895539.2223967499</x:v>
      </x:c>
      <x:c r="K19" s="901" t="n">
        <x:f>-Inputs!$D$36*(1+Inputs!$D$22)^(K$6-1)</x:f>
        <x:v>-922405.3990686525</x:v>
      </x:c>
      <x:c r="L19" s="901" t="n">
        <x:f>-Inputs!$D$36*(1+Inputs!$D$22)^(L$6-1)</x:f>
        <x:v>-950077.5610407119</x:v>
      </x:c>
      <x:c r="M19" s="901" t="n">
        <x:f>-Inputs!$D$36*(1+Inputs!$D$22)^(M$6-1)</x:f>
        <x:v>-978579.8878719333</x:v>
      </x:c>
      <x:c r="N19" s="901" t="n">
        <x:f>-Inputs!$D$36*(1+Inputs!$D$22)^(N$6-1)</x:f>
        <x:v>-1007937.2845080913</x:v>
      </x:c>
    </x:row>
    <x:row r="20" ht="22.75" customHeight="1">
      <x:c r="A20" s="4"/>
      <x:c r="B20" s="5"/>
      <x:c r="C20" s="644" t="s">
        <x:v>542</x:v>
      </x:c>
      <x:c r="D20" s="899" t="n">
        <x:f>SUM(D13:D19)</x:f>
        <x:v>-23351230.4</x:v>
      </x:c>
      <x:c r="E20" s="899" t="n">
        <x:f>SUM(E13:E19)</x:f>
        <x:v>-23890755.008</x:v>
      </x:c>
      <x:c r="F20" s="899" t="n">
        <x:f>SUM(F13:F19)</x:f>
        <x:v>-24443245.10816</x:v>
      </x:c>
      <x:c r="G20" s="899" t="n">
        <x:f>SUM(G13:G19)</x:f>
        <x:v>-25009025.2603232</x:v>
      </x:c>
      <x:c r="H20" s="899" t="n">
        <x:f>SUM(H13:H19)</x:f>
        <x:v>-25588428.473029666</x:v>
      </x:c>
      <x:c r="I20" s="899" t="n">
        <x:f>SUM(I13:I19)</x:f>
        <x:v>-26181796.431215256</x:v>
      </x:c>
      <x:c r="J20" s="899" t="n">
        <x:f>SUM(J13:J19)</x:f>
        <x:v>-26789479.730226316</x:v>
      </x:c>
      <x:c r="K20" s="899" t="n">
        <x:f>SUM(K13:K19)</x:f>
        <x:v>-27411838.116329193</x:v>
      </x:c>
      <x:c r="L20" s="899" t="n">
        <x:f>SUM(L13:L19)</x:f>
        <x:v>-28049240.73389907</x:v>
      </x:c>
      <x:c r="M20" s="899" t="n">
        <x:f>SUM(M13:M19)</x:f>
        <x:v>-28702066.37947766</x:v>
      </x:c>
      <x:c r="N20" s="899" t="n">
        <x:f>SUM(N13:N19)</x:f>
        <x:v>-29370703.76289483</x:v>
      </x:c>
    </x:row>
    <x:row r="21" ht="22.75" customHeight="1">
      <x:c r="A21" s="4"/>
      <x:c r="B21" s="5"/>
      <x:c r="C21" s="644" t="s">
        <x:v>543</x:v>
      </x:c>
      <x:c r="D21" s="899" t="n">
        <x:f>SUM(D11,D20)</x:f>
        <x:v>19750000</x:v>
      </x:c>
      <x:c r="E21" s="899" t="n">
        <x:f>SUM(E11,E20)</x:f>
        <x:v>20207499.999999993</x:v>
      </x:c>
      <x:c r="F21" s="899" t="n">
        <x:f>SUM(F11,F20)</x:f>
        <x:v>20675349.99999999</x:v>
      </x:c>
      <x:c r="G21" s="899" t="n">
        <x:f>SUM(G11,G20)</x:f>
        <x:v>21153776.124999996</x:v>
      </x:c>
      <x:c r="H21" s="899" t="n">
        <x:f>SUM(H11,H20)</x:f>
        <x:v>21643009.17437499</x:v>
      </x:c>
      <x:c r="I21" s="899" t="n">
        <x:f>SUM(I11,I20)</x:f>
        <x:v>22143284.709371865</x:v>
      </x:c>
      <x:c r="J21" s="899" t="n">
        <x:f>SUM(J11,J20)</x:f>
        <x:v>22654843.14191278</x:v>
      </x:c>
      <x:c r="K21" s="899" t="n">
        <x:f>SUM(K11,K20)</x:f>
        <x:v>23177929.824711427</x:v>
      </x:c>
      <x:c r="L21" s="899" t="n">
        <x:f>SUM(L11,L20)</x:f>
        <x:v>23712795.142707564</x:v>
      </x:c>
      <x:c r="M21" s="899" t="n">
        <x:f>SUM(M11,M20)</x:f>
        <x:v>24259694.605824944</x:v>
      </x:c>
      <x:c r="N21" s="899" t="n">
        <x:f>SUM(N11,N20)</x:f>
        <x:v>24818888.943056755</x:v>
      </x:c>
    </x:row>
    <x:row r="22" ht="22.75" customHeight="1">
      <x:c r="A22" s="4"/>
      <x:c r="B22" s="5"/>
      <x:c r="C22" s="451" t="s">
        <x:v>544</x:v>
      </x:c>
      <x:c r="D22" s="913" t="n">
        <x:f>-Inputs!$D$35*(1+Inputs!$D$22)^(D$6-1)</x:f>
        <x:v>-1000000</x:v>
      </x:c>
      <x:c r="E22" s="913" t="n">
        <x:f>-Inputs!$D$35*(1+Inputs!$D$22)^(E$6-1)</x:f>
        <x:v>-1030000</x:v>
      </x:c>
      <x:c r="F22" s="913" t="n">
        <x:f>-Inputs!$D$35*(1+Inputs!$D$22)^(F$6-1)</x:f>
        <x:v>-1060900</x:v>
      </x:c>
      <x:c r="G22" s="913" t="n">
        <x:f>-Inputs!$D$35*(1+Inputs!$D$22)^(G$6-1)</x:f>
        <x:v>-1092727</x:v>
      </x:c>
      <x:c r="H22" s="913" t="n">
        <x:f>-Inputs!$D$35*(1+Inputs!$D$22)^(H$6-1)</x:f>
        <x:v>-1125508.8099999998</x:v>
      </x:c>
      <x:c r="I22" s="913" t="n">
        <x:f>-Inputs!$D$35*(1+Inputs!$D$22)^(I$6-1)</x:f>
        <x:v>-1159274.0742999997</x:v>
      </x:c>
      <x:c r="J22" s="913" t="n">
        <x:f>-Inputs!$D$35*(1+Inputs!$D$22)^(J$6-1)</x:f>
        <x:v>-1194052.296529</x:v>
      </x:c>
      <x:c r="K22" s="913" t="n">
        <x:f>-Inputs!$D$35*(1+Inputs!$D$22)^(K$6-1)</x:f>
        <x:v>-1229873.86542487</x:v>
      </x:c>
      <x:c r="L22" s="913" t="n">
        <x:f>-Inputs!$D$35*(1+Inputs!$D$22)^(L$6-1)</x:f>
        <x:v>-1266770.081387616</x:v>
      </x:c>
      <x:c r="M22" s="913" t="n">
        <x:f>-Inputs!$D$35*(1+Inputs!$D$22)^(M$6-1)</x:f>
        <x:v>-1304773.1838292445</x:v>
      </x:c>
      <x:c r="N22" s="913" t="n">
        <x:f>-Inputs!$D$35*(1+Inputs!$D$22)^(N$6-1)</x:f>
        <x:v>-1343916.3793441218</x:v>
      </x:c>
    </x:row>
    <x:row r="23" ht="22.75" customHeight="1">
      <x:c r="A23" s="4"/>
      <x:c r="B23" s="5"/>
      <x:c r="C23" s="644" t="s">
        <x:v>545</x:v>
      </x:c>
      <x:c r="D23" s="899" t="n">
        <x:f>SUM(D21:D22)</x:f>
        <x:v>18750000</x:v>
      </x:c>
      <x:c r="E23" s="899" t="n">
        <x:f>SUM(E21:E22)</x:f>
        <x:v>19177499.999999993</x:v>
      </x:c>
      <x:c r="F23" s="899" t="n">
        <x:f>SUM(F21:F22)</x:f>
        <x:v>19614449.99999999</x:v>
      </x:c>
      <x:c r="G23" s="899" t="n">
        <x:f>SUM(G21:G22)</x:f>
        <x:v>20061049.124999996</x:v>
      </x:c>
      <x:c r="H23" s="899" t="n">
        <x:f>SUM(H21:H22)</x:f>
        <x:v>20517500.36437499</x:v>
      </x:c>
      <x:c r="I23" s="899" t="n">
        <x:f>SUM(I21:I22)</x:f>
        <x:v>20984010.635071866</x:v>
      </x:c>
      <x:c r="J23" s="899" t="n">
        <x:f>SUM(J21:J22)</x:f>
        <x:v>21460790.845383782</x:v>
      </x:c>
      <x:c r="K23" s="899" t="n">
        <x:f>SUM(K21:K22)</x:f>
        <x:v>21948055.959286556</x:v>
      </x:c>
      <x:c r="L23" s="899" t="n">
        <x:f>SUM(L21:L22)</x:f>
        <x:v>22446025.061319947</x:v>
      </x:c>
      <x:c r="M23" s="899" t="n">
        <x:f>SUM(M21:M22)</x:f>
        <x:v>22954921.4219957</x:v>
      </x:c>
      <x:c r="N23" s="899" t="n">
        <x:f>SUM(N21:N22)</x:f>
        <x:v>23474972.563712634</x:v>
      </x:c>
    </x:row>
    <x:row r="24" ht="22.75" customHeight="1">
      <x:c r="A24" s="4"/>
      <x:c r="B24" s="5"/>
      <x:c r="C24" s="451" t="s">
        <x:v>546</x:v>
      </x:c>
      <x:c r="D24" s="913" t="n">
        <x:f>-Development!$D$27*Inputs!$D$33</x:f>
        <x:v>-8185800.000000001</x:v>
      </x:c>
      <x:c r="E24" s="913" t="n">
        <x:f>-Development!$D$27*Inputs!$D$33</x:f>
        <x:v>-8185800.000000001</x:v>
      </x:c>
      <x:c r="F24" s="913" t="n">
        <x:f>-Development!$D$27*Inputs!$D$33</x:f>
        <x:v>-8185800.000000001</x:v>
      </x:c>
      <x:c r="G24" s="913" t="n">
        <x:f>-Development!$D$27*Inputs!$D$33</x:f>
        <x:v>-8185800.000000001</x:v>
      </x:c>
      <x:c r="H24" s="913" t="n">
        <x:f>-Development!$D$27*Inputs!$D$33</x:f>
        <x:v>-8185800.000000001</x:v>
      </x:c>
      <x:c r="I24" s="913" t="n">
        <x:f>-Development!$D$27*Inputs!$D$33</x:f>
        <x:v>-8185800.000000001</x:v>
      </x:c>
      <x:c r="J24" s="913" t="n">
        <x:f>-Development!$D$27*Inputs!$D$33</x:f>
        <x:v>-8185800.000000001</x:v>
      </x:c>
      <x:c r="K24" s="913" t="n">
        <x:f>-Development!$D$27*Inputs!$D$33</x:f>
        <x:v>-8185800.000000001</x:v>
      </x:c>
      <x:c r="L24" s="913" t="n">
        <x:f>-Development!$D$27*Inputs!$D$33</x:f>
        <x:v>-8185800.000000001</x:v>
      </x:c>
      <x:c r="M24" s="913" t="n">
        <x:f>-Development!$D$27*Inputs!$D$33</x:f>
        <x:v>-8185800.000000001</x:v>
      </x:c>
      <x:c r="N24" s="913" t="n">
        <x:f>-Development!$D$27*Inputs!$D$33</x:f>
        <x:v>-8185800.000000001</x:v>
      </x:c>
    </x:row>
    <x:row r="25" ht="22.75" customHeight="1">
      <x:c r="A25" s="4"/>
      <x:c r="B25" s="5"/>
      <x:c r="C25" s="644" t="s">
        <x:v>547</x:v>
      </x:c>
      <x:c r="D25" s="899" t="n">
        <x:f>SUM(D23:D24)</x:f>
        <x:v>10564200</x:v>
      </x:c>
      <x:c r="E25" s="899" t="n">
        <x:f>SUM(E23:E24)</x:f>
        <x:v>10991699.999999993</x:v>
      </x:c>
      <x:c r="F25" s="899" t="n">
        <x:f>SUM(F23:F24)</x:f>
        <x:v>11428649.999999989</x:v>
      </x:c>
      <x:c r="G25" s="899" t="n">
        <x:f>SUM(G23:G24)</x:f>
        <x:v>11875249.124999996</x:v>
      </x:c>
      <x:c r="H25" s="899" t="n">
        <x:f>SUM(H23:H24)</x:f>
        <x:v>12331700.364374992</x:v>
      </x:c>
      <x:c r="I25" s="899" t="n">
        <x:f>SUM(I23:I24)</x:f>
        <x:v>12798210.635071866</x:v>
      </x:c>
      <x:c r="J25" s="899" t="n">
        <x:f>SUM(J23:J24)</x:f>
        <x:v>13274990.845383782</x:v>
      </x:c>
      <x:c r="K25" s="899" t="n">
        <x:f>SUM(K23:K24)</x:f>
        <x:v>13762255.959286556</x:v>
      </x:c>
      <x:c r="L25" s="899" t="n">
        <x:f>SUM(L23:L24)</x:f>
        <x:v>14260225.061319947</x:v>
      </x:c>
      <x:c r="M25" s="899" t="n">
        <x:f>SUM(M23:M24)</x:f>
        <x:v>14769121.4219957</x:v>
      </x:c>
      <x:c r="N25" s="899" t="n">
        <x:f>SUM(N23:N24)</x:f>
        <x:v>15289172.563712634</x:v>
      </x:c>
    </x:row>
    <x:row r="26" ht="22.75" customHeight="1">
      <x:c r="A26" s="4"/>
      <x:c r="B26" s="5"/>
      <x:c r="C26" s="451" t="s">
        <x:v>548</x:v>
      </x:c>
      <x:c r="D26" s="913" t="n">
        <x:f>Development!$D$27</x:f>
        <x:v>116940000</x:v>
      </x:c>
      <x:c r="E26" s="913" t="n">
        <x:f>Development!$D$27</x:f>
        <x:v>116940000</x:v>
      </x:c>
      <x:c r="F26" s="913" t="n">
        <x:f>Development!$D$27</x:f>
        <x:v>116940000</x:v>
      </x:c>
      <x:c r="G26" s="913" t="n">
        <x:f>Development!$D$27</x:f>
        <x:v>116940000</x:v>
      </x:c>
      <x:c r="H26" s="913" t="n">
        <x:f>Development!$D$27</x:f>
        <x:v>116940000</x:v>
      </x:c>
      <x:c r="I26" s="913" t="n">
        <x:f>Development!$D$27</x:f>
        <x:v>116940000</x:v>
      </x:c>
      <x:c r="J26" s="913" t="n">
        <x:f>Development!$D$27</x:f>
        <x:v>116940000</x:v>
      </x:c>
      <x:c r="K26" s="913" t="n">
        <x:f>Development!$D$27</x:f>
        <x:v>116940000</x:v>
      </x:c>
      <x:c r="L26" s="913" t="n">
        <x:f>Development!$D$27</x:f>
        <x:v>116940000</x:v>
      </x:c>
      <x:c r="M26" s="913" t="n">
        <x:f>Development!$D$27</x:f>
        <x:v>116940000</x:v>
      </x:c>
      <x:c r="N26" s="913" t="n">
        <x:f>Development!$D$27</x:f>
        <x:v>116940000</x:v>
      </x:c>
    </x:row>
    <x:row r="27" ht="22.75" customHeight="1">
      <x:c r="A27" s="4"/>
      <x:c r="B27" s="5"/>
      <x:c r="C27" s="454" t="s">
        <x:v>549</x:v>
      </x:c>
      <x:c r="D27" s="915" t="n">
        <x:f>D21/-D24</x:f>
        <x:v>2.4127147010677024</x:v>
      </x:c>
      <x:c r="E27" s="915" t="n">
        <x:f>E21/-E24</x:f>
        <x:v>2.4686041681937</x:v>
      </x:c>
      <x:c r="F27" s="915" t="n">
        <x:f>F21/-F24</x:f>
        <x:v>2.5257580199858274</x:v>
      </x:c>
      <x:c r="G27" s="915" t="n">
        <x:f>G21/-G24</x:f>
        <x:v>2.584203880500378</x:v>
      </x:c>
      <x:c r="H27" s="915" t="n">
        <x:f>H21/-H24</x:f>
        <x:v>2.6439699448282377</x:v>
      </x:c>
      <x:c r="I27" s="915" t="n">
        <x:f>I21/-I24</x:f>
        <x:v>2.7050849897837552</x:v>
      </x:c>
      <x:c r="J27" s="915" t="n">
        <x:f>J21/-J24</x:f>
        <x:v>2.7675783847532043</x:v>
      </x:c>
      <x:c r="K27" s="915" t="n">
        <x:f>K21/-K24</x:f>
        <x:v>2.8314801027036363</x:v>
      </x:c>
      <x:c r="L27" s="915" t="n">
        <x:f>L21/-L24</x:f>
        <x:v>2.896820731352777</x:v>
      </x:c>
      <x:c r="M27" s="915" t="n">
        <x:f>M21/-M24</x:f>
        <x:v>2.9636314845005916</x:v>
      </x:c>
      <x:c r="N27" s="915" t="n">
        <x:f>N21/-N24</x:f>
        <x:v>3.0319442135230217</x:v>
      </x:c>
    </x:row>
    <x:row r="28" ht="22.75" customHeight="1">
      <x:c r="A28" s="4"/>
      <x:c r="B28" s="5"/>
      <x:c r="C28" s="644" t="s">
        <x:v>550</x:v>
      </x:c>
      <x:c r="D28" s="917" t="n">
        <x:f>D23/-D24</x:f>
        <x:v>2.2905519313933884</x:v>
      </x:c>
      <x:c r="E28" s="917" t="n">
        <x:f>E23/-E24</x:f>
        <x:v>2.3427765154291564</x:v>
      </x:c>
      <x:c r="F28" s="917" t="n">
        <x:f>F23/-F24</x:f>
        <x:v>2.396155537638348</x:v>
      </x:c>
      <x:c r="G28" s="917" t="n">
        <x:f>G23/-G24</x:f>
        <x:v>2.4507133236824736</x:v>
      </x:c>
      <x:c r="H28" s="917" t="n">
        <x:f>H23/-H24</x:f>
        <x:v>2.5064746713057966</x:v>
      </x:c>
      <x:c r="I28" s="917" t="n">
        <x:f>I23/-I24</x:f>
        <x:v>2.5634648580556405</x:v>
      </x:c>
      <x:c r="J28" s="917" t="n">
        <x:f>J23/-J24</x:f>
        <x:v>2.6217096490732463</x:v>
      </x:c>
      <x:c r="K28" s="917" t="n">
        <x:f>K23/-K24</x:f>
        <x:v>2.681235304953279</x:v>
      </x:c>
      <x:c r="L28" s="917" t="n">
        <x:f>L23/-L24</x:f>
        <x:v>2.7420685896699095</x:v>
      </x:c>
      <x:c r="M28" s="917" t="n">
        <x:f>M23/-M24</x:f>
        <x:v>2.804236778567238</x:v>
      </x:c>
      <x:c r="N28" s="917" t="n">
        <x:f>N23/-N24</x:f>
        <x:v>2.867767666411668</x:v>
      </x:c>
    </x:row>
    <x:row r="29" ht="22.75" customHeight="1">
      <x:c r="A29" s="4"/>
      <x:c r="B29" s="5"/>
      <x:c r="C29" s="644" t="str">
        <x:v>Annual NOI / Total Development Cost</x:v>
      </x:c>
      <x:c r="D29" s="919" t="n">
        <x:f>D21/Development!$D$31</x:f>
        <x:v>0.09507597894560499</x:v>
      </x:c>
      <x:c r="E29" s="919" t="n">
        <x:f>E21/Development!$D$31</x:f>
        <x:v>0.09727837187561074</x:v>
      </x:c>
      <x:c r="F29" s="919" t="n">
        <x:f>F21/Development!$D$31</x:f>
        <x:v>0.09953058943255762</x:v>
      </x:c>
      <x:c r="G29" s="919" t="n">
        <x:f>G21/Development!$D$31</x:f>
        <x:v>0.10183372017622992</x:v>
      </x:c>
      <x:c r="H29" s="919" t="n">
        <x:f>H21/Development!$D$31</x:f>
        <x:v>0.10418887516872972</x:v>
      </x:c>
      <x:c r="I29" s="919" t="n">
        <x:f>I21/Development!$D$31</x:f>
        <x:v>0.10659718839568487</x:v>
      </x:c>
      <x:c r="J29" s="919" t="n">
        <x:f>J21/Development!$D$31</x:f>
        <x:v>0.10905981719374598</x:v>
      </x:c>
      <x:c r="K29" s="919" t="n">
        <x:f>K21/Development!$D$31</x:f>
        <x:v>0.11157794268440373</x:v>
      </x:c>
      <x:c r="L29" s="919" t="n">
        <x:f>L21/Development!$D$31</x:f>
        <x:v>0.11415277021415234</x:v>
      </x:c>
      <x:c r="M29" s="919" t="n">
        <x:f>M21/Development!$D$31</x:f>
        <x:v>0.11678552980102376</x:v>
      </x:c>
      <x:c r="N29" s="919" t="n">
        <x:f>N21/Development!$D$31</x:f>
        <x:v>0.11947747658751252</x:v>
      </x:c>
    </x:row>
    <x:row r="30" ht="22.75" customHeight="1">
      <x:c r="A30" s="4"/>
      <x:c r="B30" s="5"/>
      <x:c r="C30" s="451" t="s">
        <x:v>551</x:v>
      </x:c>
      <x:c r="D30" s="472" t="n">
        <x:f>D25/Development!$D$32</x:f>
        <x:v>0.11636042410611024</x:v>
      </x:c>
      <x:c r="E30" s="472" t="n">
        <x:f>E25/Development!$D$32</x:f>
        <x:v>0.12106916507138553</x:v>
      </x:c>
      <x:c r="F30" s="472" t="n">
        <x:f>F25/Development!$D$32</x:f>
        <x:v>0.12588199399484065</x:v>
      </x:c>
      <x:c r="G30" s="472" t="n">
        <x:f>G25/Development!$D$32</x:f>
        <x:v>0.13080110415845156</x:v>
      </x:c>
      <x:c r="H30" s="472" t="n">
        <x:f>H25/Development!$D$32</x:f>
        <x:v>0.13582873140873405</x:v>
      </x:c>
      <x:c r="I30" s="472" t="n">
        <x:f>I25/Development!$D$32</x:f>
        <x:v>0.14096715485283248</x:v>
      </x:c>
      <x:c r="J30" s="472" t="n">
        <x:f>J25/Development!$D$32</x:f>
        <x:v>0.14621869756096892</x:v>
      </x:c>
      <x:c r="K30" s="472" t="n">
        <x:f>K25/Development!$D$32</x:f>
        <x:v>0.15158572727508252</x:v>
      </x:c>
      <x:c r="L30" s="472" t="n">
        <x:f>L25/Development!$D$32</x:f>
        <x:v>0.15707065712347087</x:v>
      </x:c>
      <x:c r="M30" s="472" t="n">
        <x:f>M25/Development!$D$32</x:f>
        <x:v>0.16267594634123336</x:v>
      </x:c>
      <x:c r="N30" s="472" t="n">
        <x:f>N25/Development!$D$32</x:f>
        <x:v>0.16840410099629946</x:v>
      </x:c>
    </x:row>
    <x:row r="31" ht="22.75" customHeight="1">
      <x:c r="A31" s="4"/>
      <x:c r="B31" s="5"/>
      <x:c r="C31" s="454" t="s">
        <x:v>552</x:v>
      </x:c>
      <x:c r="D31" s="897" t="n">
        <x:f>SUM(D9:D10)</x:f>
        <x:v>43101230.4</x:v>
      </x:c>
      <x:c r="E31" s="897" t="n">
        <x:f>SUM(E9:E10)</x:f>
        <x:v>44098255.007999994</x:v>
      </x:c>
      <x:c r="F31" s="897" t="n">
        <x:f>SUM(F9:F10)</x:f>
        <x:v>45118595.10815999</x:v>
      </x:c>
      <x:c r="G31" s="897" t="n">
        <x:f>SUM(G9:G10)</x:f>
        <x:v>46162801.3853232</x:v>
      </x:c>
      <x:c r="H31" s="897" t="n">
        <x:f>SUM(H9:H10)</x:f>
        <x:v>47231437.647404656</x:v>
      </x:c>
      <x:c r="I31" s="897" t="n">
        <x:f>SUM(I9:I10)</x:f>
        <x:v>48325081.14058712</x:v>
      </x:c>
      <x:c r="J31" s="897" t="n">
        <x:f>SUM(J9:J10)</x:f>
        <x:v>49444322.872139096</x:v>
      </x:c>
      <x:c r="K31" s="897" t="n">
        <x:f>SUM(K9:K10)</x:f>
        <x:v>50589767.94104062</x:v>
      </x:c>
      <x:c r="L31" s="897" t="n">
        <x:f>SUM(L9:L10)</x:f>
        <x:v>51762035.876606636</x:v>
      </x:c>
      <x:c r="M31" s="897" t="n">
        <x:f>SUM(M9:M10)</x:f>
        <x:v>52961760.985302605</x:v>
      </x:c>
      <x:c r="N31" s="897" t="n">
        <x:f>SUM(N9:N10)</x:f>
        <x:v>54189592.70595159</x:v>
      </x:c>
    </x:row>
    <x:row r="32" ht="9" customHeight="1">
      <x:c r="A32" s="4"/>
      <x:c r="B32" s="5"/>
      <x:c r="C32" s="454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</x:row>
    <x:row r="33" ht="9" customHeight="1">
      <x:c r="A33" s="4"/>
      <x:c r="B33" s="5"/>
      <x:c r="C33" s="454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</x:row>
    <x:row r="34" ht="9" customHeight="1">
      <x:c r="A34" s="4"/>
      <x:c r="B34" s="5"/>
      <x:c r="C34" s="454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</x:row>
    <x:row r="35" ht="22.75" customHeight="1">
      <x:c r="A35" s="4"/>
      <x:c r="B35" s="5"/>
      <x:c r="C35" s="454" t="s">
        <x:v>553</x:v>
      </x:c>
      <x:c r="D35" s="897" t="n">
        <x:f>0</x:f>
        <x:v>0</x:v>
      </x:c>
      <x:c r="E35" s="897" t="n">
        <x:f>0</x:f>
        <x:v>0</x:v>
      </x:c>
      <x:c r="F35" s="897" t="n">
        <x:f>0</x:f>
        <x:v>0</x:v>
      </x:c>
      <x:c r="G35" s="897" t="n">
        <x:f>0</x:f>
        <x:v>0</x:v>
      </x:c>
      <x:c r="H35" s="897" t="n">
        <x:f>0</x:f>
        <x:v>0</x:v>
      </x:c>
      <x:c r="I35" s="897" t="n">
        <x:f>0</x:f>
        <x:v>0</x:v>
      </x:c>
      <x:c r="J35" s="897" t="n">
        <x:f>0</x:f>
        <x:v>0</x:v>
      </x:c>
      <x:c r="K35" s="897" t="n">
        <x:f>0</x:f>
        <x:v>0</x:v>
      </x:c>
      <x:c r="L35" s="897" t="n">
        <x:f>0</x:f>
        <x:v>0</x:v>
      </x:c>
      <x:c r="M35" s="901" t="n">
        <x:f>N21/Inputs!$D$29</x:f>
        <x:v>354555556.3293822</x:v>
      </x:c>
      <x:c r="N35" s="897" t="n">
        <x:f>0</x:f>
        <x:v>0</x:v>
      </x:c>
    </x:row>
    <x:row r="36" ht="22.75" customHeight="1">
      <x:c r="A36" s="4"/>
      <x:c r="B36" s="5"/>
      <x:c r="C36" s="451" t="s">
        <x:v>554</x:v>
      </x:c>
      <x:c r="D36" s="913" t="n">
        <x:f>-D35*Inputs!$D$30</x:f>
        <x:v>0</x:v>
      </x:c>
      <x:c r="E36" s="913" t="n">
        <x:f>-E35*Inputs!$D$30</x:f>
        <x:v>0</x:v>
      </x:c>
      <x:c r="F36" s="913" t="n">
        <x:f>-F35*Inputs!$D$30</x:f>
        <x:v>0</x:v>
      </x:c>
      <x:c r="G36" s="913" t="n">
        <x:f>-G35*Inputs!$D$30</x:f>
        <x:v>0</x:v>
      </x:c>
      <x:c r="H36" s="913" t="n">
        <x:f>-H35*Inputs!$D$30</x:f>
        <x:v>0</x:v>
      </x:c>
      <x:c r="I36" s="913" t="n">
        <x:f>-I35*Inputs!$D$30</x:f>
        <x:v>0</x:v>
      </x:c>
      <x:c r="J36" s="913" t="n">
        <x:f>-J35*Inputs!$D$30</x:f>
        <x:v>0</x:v>
      </x:c>
      <x:c r="K36" s="913" t="n">
        <x:f>-K35*Inputs!$D$30</x:f>
        <x:v>0</x:v>
      </x:c>
      <x:c r="L36" s="913" t="n">
        <x:f>-L35*Inputs!$D$30</x:f>
        <x:v>0</x:v>
      </x:c>
      <x:c r="M36" s="913" t="n">
        <x:f>-M35*Inputs!$D$30</x:f>
        <x:v>-7091111.126587644</x:v>
      </x:c>
      <x:c r="N36" s="913" t="n">
        <x:f>-N35*Inputs!$D$30</x:f>
        <x:v>0</x:v>
      </x:c>
    </x:row>
    <x:row r="37" ht="22.75" customHeight="1">
      <x:c r="A37" s="4"/>
      <x:c r="B37" s="5"/>
      <x:c r="C37" s="454" t="s">
        <x:v>555</x:v>
      </x:c>
      <x:c r="D37" s="897" t="n">
        <x:f>0</x:f>
        <x:v>0</x:v>
      </x:c>
      <x:c r="E37" s="897" t="n">
        <x:f>0</x:f>
        <x:v>0</x:v>
      </x:c>
      <x:c r="F37" s="897" t="n">
        <x:f>0</x:f>
        <x:v>0</x:v>
      </x:c>
      <x:c r="G37" s="897" t="n">
        <x:f>0</x:f>
        <x:v>0</x:v>
      </x:c>
      <x:c r="H37" s="897" t="n">
        <x:f>0</x:f>
        <x:v>0</x:v>
      </x:c>
      <x:c r="I37" s="897" t="n">
        <x:f>0</x:f>
        <x:v>0</x:v>
      </x:c>
      <x:c r="J37" s="897" t="n">
        <x:f>0</x:f>
        <x:v>0</x:v>
      </x:c>
      <x:c r="K37" s="897" t="n">
        <x:f>0</x:f>
        <x:v>0</x:v>
      </x:c>
      <x:c r="L37" s="897" t="n">
        <x:f>0</x:f>
        <x:v>0</x:v>
      </x:c>
      <x:c r="M37" s="901" t="n">
        <x:f>-Development!$D$27</x:f>
        <x:v>-116940000</x:v>
      </x:c>
      <x:c r="N37" s="897" t="n">
        <x:f>0</x:f>
        <x:v>0</x:v>
      </x:c>
    </x:row>
    <x:row r="38" ht="22.75" customHeight="1">
      <x:c r="A38" s="4"/>
      <x:c r="B38" s="5"/>
      <x:c r="C38" s="644" t="s">
        <x:v>556</x:v>
      </x:c>
      <x:c r="D38" s="899" t="n">
        <x:f>SUM(D35:D37)</x:f>
        <x:v>0</x:v>
      </x:c>
      <x:c r="E38" s="899" t="n">
        <x:f>SUM(E35:E37)</x:f>
        <x:v>0</x:v>
      </x:c>
      <x:c r="F38" s="899" t="n">
        <x:f>SUM(F35:F37)</x:f>
        <x:v>0</x:v>
      </x:c>
      <x:c r="G38" s="899" t="n">
        <x:f>SUM(G35:G37)</x:f>
        <x:v>0</x:v>
      </x:c>
      <x:c r="H38" s="899" t="n">
        <x:f>SUM(H35:H37)</x:f>
        <x:v>0</x:v>
      </x:c>
      <x:c r="I38" s="899" t="n">
        <x:f>SUM(I35:I37)</x:f>
        <x:v>0</x:v>
      </x:c>
      <x:c r="J38" s="899" t="n">
        <x:f>SUM(J35:J37)</x:f>
        <x:v>0</x:v>
      </x:c>
      <x:c r="K38" s="899" t="n">
        <x:f>SUM(K35:K37)</x:f>
        <x:v>0</x:v>
      </x:c>
      <x:c r="L38" s="899" t="n">
        <x:f>SUM(L35:L37)</x:f>
        <x:v>0</x:v>
      </x:c>
      <x:c r="M38" s="899" t="n">
        <x:f>SUM(M35:M37)</x:f>
        <x:v>230524445.20279455</x:v>
      </x:c>
      <x:c r="N38" s="899" t="n">
        <x:f>SUM(N35:N37)</x:f>
        <x:v>0</x:v>
      </x:c>
    </x:row>
    <x:row r="39" ht="22.75" customHeight="1">
      <x:c r="A39" s="4"/>
      <x:c r="B39" s="5"/>
      <x:c r="C39" s="644" t="s">
        <x:v>557</x:v>
      </x:c>
      <x:c r="D39" s="899" t="n">
        <x:f>SUM(D25,D38)</x:f>
        <x:v>10564200</x:v>
      </x:c>
      <x:c r="E39" s="899" t="n">
        <x:f>SUM(E25,E38)</x:f>
        <x:v>10991699.999999993</x:v>
      </x:c>
      <x:c r="F39" s="899" t="n">
        <x:f>SUM(F25,F38)</x:f>
        <x:v>11428649.999999989</x:v>
      </x:c>
      <x:c r="G39" s="899" t="n">
        <x:f>SUM(G25,G38)</x:f>
        <x:v>11875249.124999996</x:v>
      </x:c>
      <x:c r="H39" s="899" t="n">
        <x:f>SUM(H25,H38)</x:f>
        <x:v>12331700.364374992</x:v>
      </x:c>
      <x:c r="I39" s="899" t="n">
        <x:f>SUM(I25,I38)</x:f>
        <x:v>12798210.635071866</x:v>
      </x:c>
      <x:c r="J39" s="899" t="n">
        <x:f>SUM(J25,J38)</x:f>
        <x:v>13274990.845383782</x:v>
      </x:c>
      <x:c r="K39" s="899" t="n">
        <x:f>SUM(K25,K38)</x:f>
        <x:v>13762255.959286556</x:v>
      </x:c>
      <x:c r="L39" s="899" t="n">
        <x:f>SUM(L25,L38)</x:f>
        <x:v>14260225.061319947</x:v>
      </x:c>
      <x:c r="M39" s="899" t="n">
        <x:f>SUM(M25,M38)</x:f>
        <x:v>245293566.62479025</x:v>
      </x:c>
      <x:c r="N39" s="899" t="n">
        <x:f>SUM(N25,N38)</x:f>
        <x:v>15289172.563712634</x:v>
      </x:c>
    </x:row>
    <x:row r="40" ht="22.75" customHeight="1">
      <x:c r="A40" s="4"/>
      <x:c r="B40" s="5"/>
      <x:c r="C40" s="644" t="s">
        <x:v>558</x:v>
      </x:c>
      <x:c r="D40" s="899" t="n">
        <x:f>SUM(D23,D35:D36)</x:f>
        <x:v>18750000</x:v>
      </x:c>
      <x:c r="E40" s="899" t="n">
        <x:f>SUM(E23,E35:E36)</x:f>
        <x:v>19177499.999999993</x:v>
      </x:c>
      <x:c r="F40" s="899" t="n">
        <x:f>SUM(F23,F35:F36)</x:f>
        <x:v>19614449.99999999</x:v>
      </x:c>
      <x:c r="G40" s="899" t="n">
        <x:f>SUM(G23,G35:G36)</x:f>
        <x:v>20061049.124999996</x:v>
      </x:c>
      <x:c r="H40" s="899" t="n">
        <x:f>SUM(H23,H35:H36)</x:f>
        <x:v>20517500.36437499</x:v>
      </x:c>
      <x:c r="I40" s="899" t="n">
        <x:f>SUM(I23,I35:I36)</x:f>
        <x:v>20984010.635071866</x:v>
      </x:c>
      <x:c r="J40" s="899" t="n">
        <x:f>SUM(J23,J35:J36)</x:f>
        <x:v>21460790.845383782</x:v>
      </x:c>
      <x:c r="K40" s="899" t="n">
        <x:f>SUM(K23,K35:K36)</x:f>
        <x:v>21948055.959286556</x:v>
      </x:c>
      <x:c r="L40" s="899" t="n">
        <x:f>SUM(L23,L35:L36)</x:f>
        <x:v>22446025.061319947</x:v>
      </x:c>
      <x:c r="M40" s="899" t="n">
        <x:f>SUM(M23,M35:M36)</x:f>
        <x:v>370419366.62479025</x:v>
      </x:c>
      <x:c r="N40" s="899" t="n">
        <x:f>SUM(N23,N35:N36)</x:f>
        <x:v>23474972.563712634</x:v>
      </x:c>
    </x:row>
    <x:row r="41" ht="22.75" customHeight="1">
      <x:c r="A41" s="4"/>
      <x:c r="B41" s="5"/>
      <x:c r="C41" s="644" t="s">
        <x:v>559</x:v>
      </x:c>
      <x:c r="D41" s="899" t="n">
        <x:f>SUM(D10,D13)</x:f>
        <x:v>0</x:v>
      </x:c>
      <x:c r="E41" s="899" t="n">
        <x:f>SUM(E10,E13)</x:f>
        <x:v>0</x:v>
      </x:c>
      <x:c r="F41" s="899" t="n">
        <x:f>SUM(F10,F13)</x:f>
        <x:v>0</x:v>
      </x:c>
      <x:c r="G41" s="899" t="n">
        <x:f>SUM(G10,G13)</x:f>
        <x:v>0</x:v>
      </x:c>
      <x:c r="H41" s="899" t="n">
        <x:f>SUM(H10,H13)</x:f>
        <x:v>0</x:v>
      </x:c>
      <x:c r="I41" s="899" t="n">
        <x:f>SUM(I10,I13)</x:f>
        <x:v>0</x:v>
      </x:c>
      <x:c r="J41" s="899" t="n">
        <x:f>SUM(J10,J13)</x:f>
        <x:v>0</x:v>
      </x:c>
      <x:c r="K41" s="899" t="n">
        <x:f>SUM(K10,K13)</x:f>
        <x:v>0</x:v>
      </x:c>
      <x:c r="L41" s="899" t="n">
        <x:f>SUM(L10,L13)</x:f>
        <x:v>0</x:v>
      </x:c>
      <x:c r="M41" s="899" t="n">
        <x:f>SUM(M10,M13)</x:f>
        <x:v>0</x:v>
      </x:c>
      <x:c r="N41" s="899" t="n">
        <x:f>SUM(N10,N13)</x:f>
        <x:v>0</x:v>
      </x:c>
    </x:row>
    <x:row r="42" ht="9" customHeight="1">
      <x:c r="A42" s="4"/>
      <x:c r="B42" s="5"/>
      <x:c r="C42" s="454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</x:row>
    <x:row r="43" ht="9" customHeight="1">
      <x:c r="A43" s="4"/>
      <x:c r="B43" s="5"/>
      <x:c r="C43" s="454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</x:row>
    <x:row r="44" ht="22.200000762939453" customHeight="1">
      <x:c r="A44" s="4"/>
      <x:c r="B44" s="5"/>
      <x:c r="C44" s="621" t="str">
        <x:v>NOI excludes debt service, income taxes, depreciation and the capital reserve. Year-1 NOI is the stabilized proxy; Development Yield = Year-1 NOI / Total Development Cost, including development finance.</x:v>
      </x:c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</x:row>
    <x:row r="45" ht="9" customHeight="1">
      <x:c r="A45" s="4"/>
      <x:c r="B45" s="5"/>
      <x:c r="C45" s="454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</x:row>
    <x:row r="46" ht="22.200000762939453" customHeight="1">
      <x:c r="A46" s="4"/>
      <x:c r="B46" s="5"/>
      <x:c r="C46" s="621" t="s">
        <x:v>560</x:v>
      </x:c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</x:row>
    <x:row r="47" ht="9" customHeight="1">
      <x:c r="A47" s="4"/>
      <x:c r="B47" s="5"/>
      <x:c r="C47" s="454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</x:row>
    <x:row r="48" ht="9" customHeight="1">
      <x:c r="A48" s="4"/>
      <x:c r="B48" s="5"/>
      <x:c r="C48" s="454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</x:row>
    <x:row r="49" ht="26.049999237060547" customHeight="1">
      <x:c r="A49" s="4"/>
      <x:c r="B49" s="5"/>
      <x:c r="C49" s="641" t="s">
        <x:v>561</x:v>
      </x:c>
      <x:c r="D49" s="642"/>
      <x:c r="E49" s="642"/>
      <x:c r="F49" s="642"/>
      <x:c r="G49" s="642"/>
      <x:c r="H49" s="642"/>
      <x:c r="I49" s="642"/>
      <x:c r="J49" s="642"/>
      <x:c r="K49" s="642"/>
      <x:c r="L49" s="642"/>
      <x:c r="M49" s="642"/>
      <x:c r="N49" s="642"/>
    </x:row>
    <x:row r="50" ht="22.200000762939453" customHeight="1">
      <x:c r="A50" s="4"/>
      <x:c r="B50" s="5"/>
      <x:c r="C50" s="621" t="s">
        <x:v>562</x:v>
      </x:c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</x:row>
    <x:row r="51" ht="22.200000762939453" customHeight="1">
      <x:c r="A51" s="4"/>
      <x:c r="B51" s="5"/>
      <x:c r="C51" s="621" t="str">
        <x:v>TRACE | Capacity and contracted price determine rent. Total receipts less operating expenses give NOI; reserve and interest give equity cash. Year-11 NOI drives the assumed Year-10 sale value.</x:v>
      </x:c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</x:row>
    <x:row r="52" ht="22.200000762939453" customHeight="1">
      <x:c r="A52" s="4"/>
      <x:c r="B52" s="5"/>
      <x:c r="C52" s="621" t="s">
        <x:v>563</x:v>
      </x:c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</x:row>
    <x:row r="53" ht="22.200000762939453" customHeight="1">
      <x:c r="A53" s="7"/>
      <x:c r="B53" s="8"/>
      <x:c r="C53" s="621" t="s">
        <x:v>564</x:v>
      </x:c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05  |  LANDLORD CASH FLOW &amp; NOI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How does reserved capacity become operating income and equity cash?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Power recovered at cost is cash throughput, not incremental NOI.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30.219999313354492" hidden="0" customHeight="1">
      <x:c r="P211" s="597" t="str">
        <x:v>Billable critical IT capacity (MW)</x:v>
      </x:c>
      <x:c r="Q211" s="603" t="n">
        <x:f>D7</x:f>
        <x:v>10</x:v>
      </x:c>
      <x:c r="R211" s="599" t="str">
        <x:v>Landlord tab</x:v>
      </x:c>
      <x:c r="S211" s="599" t="str">
        <x:v>10 MW assumed fully billable; see the annual lease schedule.</x:v>
      </x:c>
    </x:row>
    <x:row r="212" ht="30.219999313354492" hidden="0" customHeight="1">
      <x:c r="P212" s="509" t="str">
        <x:v>Capacity rent ($/kW/month)</x:v>
      </x:c>
      <x:c r="Q212" s="1081" t="n">
        <x:f>D8</x:f>
        <x:v>225</x:v>
      </x:c>
      <x:c r="R212" s="510" t="str">
        <x:v>Landlord tab</x:v>
      </x:c>
      <x:c r="S212" s="510" t="str">
        <x:v>10 MW assumed fully billable; see the annual lease schedule.</x:v>
      </x:c>
    </x:row>
    <x:row r="213" ht="30.219999313354492" hidden="0" customHeight="1">
      <x:c r="P213" s="597" t="str">
        <x:v>Contractual capacity rent</x:v>
      </x:c>
      <x:c r="Q213" s="1037" t="n">
        <x:f>D9</x:f>
        <x:v>27000000</x:v>
      </x:c>
      <x:c r="R213" s="599" t="str">
        <x:v>Landlord tab</x:v>
      </x:c>
      <x:c r="S213" s="599" t="str">
        <x:v>10 MW assumed fully billable; see the annual lease schedule.</x:v>
      </x:c>
    </x:row>
    <x:row r="214" ht="30.219999313354492" hidden="0" customHeight="1">
      <x:c r="P214" s="509" t="str">
        <x:v>Electricity reimbursement</x:v>
      </x:c>
      <x:c r="Q214" s="1036" t="n">
        <x:f>D10</x:f>
        <x:v>16101230.4</x:v>
      </x:c>
      <x:c r="R214" s="510" t="str">
        <x:v>Landlord tab</x:v>
      </x:c>
      <x:c r="S214" s="510" t="str">
        <x:v>Utility power is reimbursed; no landlord energy markup assumed.</x:v>
      </x:c>
    </x:row>
    <x:row r="215" ht="17.110000610351562" hidden="0" customHeight="1">
      <x:c r="P215" s="597" t="str">
        <x:v>Total cash receipts</x:v>
      </x:c>
      <x:c r="Q215" s="1037" t="n">
        <x:f>D11</x:f>
        <x:v>43101230.4</x:v>
      </x:c>
      <x:c r="R215" s="599" t="str">
        <x:v>Landlord tab</x:v>
      </x:c>
      <x:c r="S215" s="599" t="str">
        <x:v>Illustrative landlord cash-flow line; ten-year schedule at left.</x:v>
      </x:c>
    </x:row>
    <x:row r="216" ht="30.219999313354492" hidden="0" customHeight="1">
      <x:c r="P216" s="509" t="str">
        <x:v>Electricity expense</x:v>
      </x:c>
      <x:c r="Q216" s="1036" t="n">
        <x:f>D13</x:f>
        <x:v>-16101230.4</x:v>
      </x:c>
      <x:c r="R216" s="510" t="str">
        <x:v>Landlord tab</x:v>
      </x:c>
      <x:c r="S216" s="510" t="str">
        <x:v>Utility power is reimbursed; no landlord energy markup assumed.</x:v>
      </x:c>
    </x:row>
    <x:row r="217" ht="17.110000610351562" hidden="0" customHeight="1">
      <x:c r="P217" s="597" t="str">
        <x:v>Total operating expenses</x:v>
      </x:c>
      <x:c r="Q217" s="1037" t="n">
        <x:f>D20</x:f>
        <x:v>-23351230.4</x:v>
      </x:c>
      <x:c r="R217" s="599" t="str">
        <x:v>Landlord tab</x:v>
      </x:c>
      <x:c r="S217" s="599" t="str">
        <x:v>Property-level operating cost; year-by-year detail at left.</x:v>
      </x:c>
    </x:row>
    <x:row r="218" ht="30.219999313354492" hidden="0" customHeight="1">
      <x:c r="P218" s="589" t="str">
        <x:v>NET OPERATING INCOME</x:v>
      </x:c>
      <x:c r="Q218" s="1045" t="n">
        <x:f>D21</x:f>
        <x:v>19750000</x:v>
      </x:c>
      <x:c r="R218" s="654" t="str">
        <x:v>Landlord tab</x:v>
      </x:c>
      <x:c r="S218" s="654" t="str">
        <x:v>Illustrative landlord cash-flow line; ten-year schedule at left.</x:v>
      </x:c>
    </x:row>
    <x:row r="219" ht="17.110000610351562" hidden="0" customHeight="1">
      <x:c r="P219" s="597" t="str">
        <x:v>Recurring facility capital reserve</x:v>
      </x:c>
      <x:c r="Q219" s="1037" t="n">
        <x:f>D22</x:f>
        <x:v>-1000000</x:v>
      </x:c>
      <x:c r="R219" s="599" t="str">
        <x:v>Landlord tab</x:v>
      </x:c>
      <x:c r="S219" s="599" t="str">
        <x:v>Property-level operating cost; year-by-year detail at left.</x:v>
      </x:c>
    </x:row>
    <x:row r="220" ht="17.110000610351562" hidden="0" customHeight="1">
      <x:c r="P220" s="509" t="str">
        <x:v>Cash available before debt service</x:v>
      </x:c>
      <x:c r="Q220" s="1036" t="n">
        <x:f>D23</x:f>
        <x:v>18750000</x:v>
      </x:c>
      <x:c r="R220" s="510" t="str">
        <x:v>Landlord tab</x:v>
      </x:c>
      <x:c r="S220" s="510" t="str">
        <x:v>Illustrative landlord cash-flow line; ten-year schedule at left.</x:v>
      </x:c>
    </x:row>
    <x:row r="221" ht="30.219999313354492" hidden="0" customHeight="1">
      <x:c r="P221" s="597" t="str">
        <x:v>Interest-only debt service</x:v>
      </x:c>
      <x:c r="Q221" s="1037" t="n">
        <x:f>D24</x:f>
        <x:v>-8185800.000000001</x:v>
      </x:c>
      <x:c r="R221" s="599" t="str">
        <x:v>Landlord tab</x:v>
      </x:c>
      <x:c r="S221" s="599" t="str">
        <x:v>Modeled interest-only payments; financing terms are assumptions.</x:v>
      </x:c>
    </x:row>
    <x:row r="222" ht="17.110000610351562" hidden="0" customHeight="1">
      <x:c r="P222" s="509" t="str">
        <x:v>CASH FLOW TO EQUITY</x:v>
      </x:c>
      <x:c r="Q222" s="1036" t="n">
        <x:f>D25</x:f>
        <x:v>10564200</x:v>
      </x:c>
      <x:c r="R222" s="510" t="str">
        <x:v>Landlord tab</x:v>
      </x:c>
      <x:c r="S222" s="510" t="str">
        <x:v>Illustrative landlord cash-flow line; ten-year schedule at left.</x:v>
      </x:c>
    </x:row>
    <x:row r="223" ht="17.110000610351562" hidden="0" customHeight="1">
      <x:c r="P223" s="597" t="str">
        <x:v>After-reserve debt-service coverage</x:v>
      </x:c>
      <x:c r="Q223" s="666" t="n">
        <x:f>D28</x:f>
        <x:v>2.2905519313933884</x:v>
      </x:c>
      <x:c r="R223" s="599" t="str">
        <x:v>Landlord tab</x:v>
      </x:c>
      <x:c r="S223" s="599" t="str">
        <x:v>Property-level operating cost; year-by-year detail at left.</x:v>
      </x:c>
    </x:row>
    <x:row r="224" ht="31" hidden="0" customHeight="1">
      <x:c r="P224" s="509" t="inlineStr">
        <x:is>
          <x:t xml:space="preserve">Development Yield (NOI / Total Development Cost)</x:t>
        </x:is>
      </x:c>
      <x:c r="Q224" s="611" t="n">
        <x:f>D29</x:f>
        <x:v>0.09507597894560499</x:v>
      </x:c>
      <x:c r="R224" s="510" t="str">
        <x:v>Landlord tab</x:v>
      </x:c>
      <x:c r="S224" s="510" t="str">
        <x:v>Illustrative landlord cash-flow line; ten-year schedule at left.</x:v>
      </x:c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12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49:N49"/>
    <x:mergeCell ref="C50:N50"/>
    <x:mergeCell ref="C51:N51"/>
    <x:mergeCell ref="C52:N52"/>
    <x:mergeCell ref="C53:N53"/>
    <x:mergeCell ref="C3:N3"/>
    <x:mergeCell ref="C4:N4"/>
    <x:mergeCell ref="C5:N5"/>
    <x:mergeCell ref="C44:N44"/>
    <x:mergeCell ref="C46:N46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565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566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567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568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569</x:v>
      </x:c>
      <x:c r="D12" s="978" t="n">
        <x:f>Landlord!D7</x:f>
        <x:v>10</x:v>
      </x:c>
      <x:c r="E12" s="450" t="str">
        <x:v>Landlord tab</x:v>
      </x:c>
      <x:c r="F12" s="450" t="s">
        <x:v>570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571</x:v>
      </x:c>
      <x:c r="D13" s="1003" t="n">
        <x:f>Landlord!D8</x:f>
        <x:v>225</x:v>
      </x:c>
      <x:c r="E13" s="453" t="str">
        <x:v>Landlord tab</x:v>
      </x:c>
      <x:c r="F13" s="453" t="s">
        <x:v>572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534</x:v>
      </x:c>
      <x:c r="D14" s="913" t="n">
        <x:f>Landlord!D9</x:f>
        <x:v>27000000</x:v>
      </x:c>
      <x:c r="E14" s="450" t="str">
        <x:v>Landlord tab</x:v>
      </x:c>
      <x:c r="F14" s="450" t="s">
        <x:v>573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535</x:v>
      </x:c>
      <x:c r="D15" s="901" t="n">
        <x:f>Landlord!D10</x:f>
        <x:v>16101230.4</x:v>
      </x:c>
      <x:c r="E15" s="453" t="str">
        <x:v>Landlord tab</x:v>
      </x:c>
      <x:c r="F15" s="453" t="s">
        <x:v>574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536</x:v>
      </x:c>
      <x:c r="D16" s="913" t="n">
        <x:f>Landlord!D11</x:f>
        <x:v>43101230.4</x:v>
      </x:c>
      <x:c r="E16" s="450" t="str">
        <x:v>Landlord tab</x:v>
      </x:c>
      <x:c r="F16" s="450" t="s">
        <x:v>575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537</x:v>
      </x:c>
      <x:c r="D17" s="901" t="n">
        <x:f>Landlord!D13</x:f>
        <x:v>-16101230.4</x:v>
      </x:c>
      <x:c r="E17" s="453" t="str">
        <x:v>Landlord tab</x:v>
      </x:c>
      <x:c r="F17" s="453" t="s">
        <x:v>576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577</x:v>
      </x:c>
      <x:c r="D18" s="913" t="n">
        <x:f>Landlord!D20</x:f>
        <x:v>-23351230.4</x:v>
      </x:c>
      <x:c r="E18" s="450" t="str">
        <x:v>Landlord tab</x:v>
      </x:c>
      <x:c r="F18" s="450" t="s">
        <x:v>578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543</x:v>
      </x:c>
      <x:c r="D19" s="901" t="n">
        <x:f>Landlord!D21</x:f>
        <x:v>19750000</x:v>
      </x:c>
      <x:c r="E19" s="453" t="str">
        <x:v>Landlord tab</x:v>
      </x:c>
      <x:c r="F19" s="453" t="s">
        <x:v>579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580</x:v>
      </x:c>
      <x:c r="D20" s="913" t="n">
        <x:f>Landlord!D22</x:f>
        <x:v>-1000000</x:v>
      </x:c>
      <x:c r="E20" s="450" t="str">
        <x:v>Landlord tab</x:v>
      </x:c>
      <x:c r="F20" s="450" t="s">
        <x:v>581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582</x:v>
      </x:c>
      <x:c r="D21" s="901" t="n">
        <x:f>Landlord!D23</x:f>
        <x:v>18750000</x:v>
      </x:c>
      <x:c r="E21" s="453" t="str">
        <x:v>Landlord tab</x:v>
      </x:c>
      <x:c r="F21" s="453" t="s">
        <x:v>583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546</x:v>
      </x:c>
      <x:c r="D22" s="913" t="n">
        <x:f>Landlord!D24</x:f>
        <x:v>-8185800.000000001</x:v>
      </x:c>
      <x:c r="E22" s="450" t="str">
        <x:v>Landlord tab</x:v>
      </x:c>
      <x:c r="F22" s="450" t="s">
        <x:v>584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585</x:v>
      </x:c>
      <x:c r="D23" s="901" t="n">
        <x:f>Landlord!D25</x:f>
        <x:v>10564200</x:v>
      </x:c>
      <x:c r="E23" s="453" t="str">
        <x:v>Landlord tab</x:v>
      </x:c>
      <x:c r="F23" s="453" t="s">
        <x:v>586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5" customHeight="1">
      <x:c r="A24" s="4"/>
      <x:c r="B24" s="5"/>
      <x:c r="C24" s="641" t="s">
        <x:v>587</x:v>
      </x:c>
      <x:c r="D24" s="977"/>
      <x:c r="E24" s="642"/>
      <x:c r="F24" s="642"/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175</x:v>
      </x:c>
      <x:c r="D25" s="923" t="n">
        <x:f>Landlord!D27</x:f>
        <x:v>2.4127147010677024</x:v>
      </x:c>
      <x:c r="E25" s="453" t="str">
        <x:v>Landlord tab</x:v>
      </x:c>
      <x:c r="F25" s="453" t="s">
        <x:v>588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176</x:v>
      </x:c>
      <x:c r="D26" s="925" t="n">
        <x:f>Landlord!D28</x:f>
        <x:v>2.2905519313933884</x:v>
      </x:c>
      <x:c r="E26" s="450" t="str">
        <x:v>Landlord tab</x:v>
      </x:c>
      <x:c r="F26" s="450" t="s">
        <x:v>589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tr">
        <x:v>Development Yield — incl. finance</x:v>
      </x:c>
      <x:c r="D27" s="468" t="n">
        <x:f>Landlord!D29</x:f>
        <x:v>0.09507597894560499</x:v>
      </x:c>
      <x:c r="E27" s="453" t="str">
        <x:v>Landlord tab</x:v>
      </x:c>
      <x:c r="F27" s="453" t="str">
        <x:v>Year-1 NOI / Total Development Cost.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590</x:v>
      </x:c>
      <x:c r="D28" s="472" t="n">
        <x:f>Landlord!D30</x:f>
        <x:v>0.11636042410611024</x:v>
      </x:c>
      <x:c r="E28" s="450" t="str">
        <x:v>Landlord tab</x:v>
      </x:c>
      <x:c r="F28" s="450" t="s">
        <x:v>591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592</x:v>
      </x:c>
      <x:c r="D29" s="901" t="n">
        <x:f>Landlord!D31</x:f>
        <x:v>43101230.4</x:v>
      </x:c>
      <x:c r="E29" s="453" t="str">
        <x:v>Landlord tab</x:v>
      </x:c>
      <x:c r="F29" s="453" t="s">
        <x:v>593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">
        <x:v>594</x:v>
      </x:c>
      <x:c r="D30" s="913" t="n">
        <x:f>Landlord!M9</x:f>
        <x:v>33719300.188586965</x:v>
      </x:c>
      <x:c r="E30" s="450" t="str">
        <x:v>Landlord tab</x:v>
      </x:c>
      <x:c r="F30" s="450" t="s">
        <x:v>595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22.75" customHeight="1">
      <x:c r="A31" s="4"/>
      <x:c r="B31" s="5"/>
      <x:c r="C31" s="454" t="s">
        <x:v>596</x:v>
      </x:c>
      <x:c r="D31" s="901" t="n">
        <x:f>Landlord!M21</x:f>
        <x:v>24259694.605824944</x:v>
      </x:c>
      <x:c r="E31" s="453" t="str">
        <x:v>Landlord tab</x:v>
      </x:c>
      <x:c r="F31" s="453" t="s">
        <x:v>597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22.75" customHeight="1">
      <x:c r="A32" s="4"/>
      <x:c r="B32" s="5"/>
      <x:c r="C32" s="451" t="s">
        <x:v>598</x:v>
      </x:c>
      <x:c r="D32" s="913" t="n">
        <x:f>Landlord!M38</x:f>
        <x:v>230524445.20279455</x:v>
      </x:c>
      <x:c r="E32" s="450" t="str">
        <x:v>Landlord tab</x:v>
      </x:c>
      <x:c r="F32" s="450" t="s">
        <x:v>599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9" customHeight="1">
      <x:c r="A33" s="4"/>
      <x:c r="B33" s="5"/>
      <x:c r="C33" s="454"/>
      <x:c r="D33" s="979"/>
      <x:c r="E33" s="453"/>
      <x:c r="F33" s="453"/>
      <x:c r="G33" s="579"/>
      <x:c r="H33" s="579"/>
      <x:c r="I33" s="579"/>
      <x:c r="J33" s="579"/>
      <x:c r="K33" s="579"/>
      <x:c r="L33" s="579"/>
      <x:c r="M33" s="579"/>
      <x:c r="N33" s="579"/>
    </x:row>
    <x:row r="34" ht="22.200000762939453" customHeight="1">
      <x:c r="A34" s="7"/>
      <x:c r="B34" s="8"/>
      <x:c r="C34" s="621" t="s">
        <x:v>233</x:v>
      </x:c>
      <x:c r="D34" s="979"/>
      <x:c r="E34" s="453"/>
      <x:c r="F34" s="453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05  |  LANDLORD CASH FLOW &amp; NOI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How does reserved capacity become operating income and equity cash?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Power recovered at cost is cash throughput, not incremental NOI.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YEAR-ONE PROPERTY ECONOMICS</x:v>
      </x:c>
      <x:c r="Q211" s="1047"/>
      <x:c r="R211" s="685" t="str"/>
      <x:c r="S211" s="685" t="str"/>
    </x:row>
    <x:row r="212" ht="17.110000610351562" hidden="0" customHeight="1">
      <x:c r="P212" s="509" t="str">
        <x:v>Reserved critical IT capacity</x:v>
      </x:c>
      <x:c r="Q212" s="690" t="n">
        <x:f>E05_Landlord!D12</x:f>
        <x:v>10</x:v>
      </x:c>
      <x:c r="R212" s="510" t="str">
        <x:v>Landlord tab</x:v>
      </x:c>
      <x:c r="S212" s="510" t="str">
        <x:v>Fully billable in the base case.</x:v>
      </x:c>
    </x:row>
    <x:row r="213" ht="17.110000610351562" hidden="0" customHeight="1">
      <x:c r="P213" s="597" t="str">
        <x:v>Capacity rent per kW per month</x:v>
      </x:c>
      <x:c r="Q213" s="1083" t="n">
        <x:f>E05_Landlord!D13</x:f>
        <x:v>225</x:v>
      </x:c>
      <x:c r="R213" s="599" t="str">
        <x:v>Landlord tab</x:v>
      </x:c>
      <x:c r="S213" s="599" t="str">
        <x:v>Includes non-power OPEX in the model.</x:v>
      </x:c>
    </x:row>
    <x:row r="214" ht="17.110000610351562" hidden="0" customHeight="1">
      <x:c r="P214" s="509" t="str">
        <x:v>Contractual capacity rent</x:v>
      </x:c>
      <x:c r="Q214" s="1036" t="n">
        <x:f>E05_Landlord!D14</x:f>
        <x:v>27000000</x:v>
      </x:c>
      <x:c r="R214" s="510" t="str">
        <x:v>Landlord tab</x:v>
      </x:c>
      <x:c r="S214" s="510" t="str">
        <x:v>Actual signed lease would be required.</x:v>
      </x:c>
    </x:row>
    <x:row r="215" ht="17.110000610351562" hidden="0" customHeight="1">
      <x:c r="P215" s="597" t="str">
        <x:v>Electricity reimbursement</x:v>
      </x:c>
      <x:c r="Q215" s="1037" t="n">
        <x:f>E05_Landlord!D15</x:f>
        <x:v>16101230.4</x:v>
      </x:c>
      <x:c r="R215" s="599" t="str">
        <x:v>Landlord tab</x:v>
      </x:c>
      <x:c r="S215" s="599" t="str">
        <x:v>Assumed recovered at cost.</x:v>
      </x:c>
    </x:row>
    <x:row r="216" ht="17.110000610351562" hidden="0" customHeight="1">
      <x:c r="P216" s="509" t="str">
        <x:v>Total cash receipts</x:v>
      </x:c>
      <x:c r="Q216" s="1036" t="n">
        <x:f>E05_Landlord!D16</x:f>
        <x:v>43101230.4</x:v>
      </x:c>
      <x:c r="R216" s="510" t="str">
        <x:v>Landlord tab</x:v>
      </x:c>
      <x:c r="S216" s="510" t="str">
        <x:v>NOT all high-margin rental revenue.</x:v>
      </x:c>
    </x:row>
    <x:row r="217" ht="17.110000610351562" hidden="0" customHeight="1">
      <x:c r="P217" s="597" t="str">
        <x:v>Electricity expense</x:v>
      </x:c>
      <x:c r="Q217" s="1037" t="n">
        <x:f>E05_Landlord!D17</x:f>
        <x:v>-16101230.4</x:v>
      </x:c>
      <x:c r="R217" s="599" t="str">
        <x:v>Landlord tab</x:v>
      </x:c>
      <x:c r="S217" s="599" t="str">
        <x:v>Matches reimbursement in base case.</x:v>
      </x:c>
    </x:row>
    <x:row r="218" ht="17.110000610351562" hidden="0" customHeight="1">
      <x:c r="P218" s="509" t="str">
        <x:v>Total property operating expenses</x:v>
      </x:c>
      <x:c r="Q218" s="1036" t="n">
        <x:f>E05_Landlord!D18</x:f>
        <x:v>-23351230.4</x:v>
      </x:c>
      <x:c r="R218" s="510" t="str">
        <x:v>Landlord tab</x:v>
      </x:c>
      <x:c r="S218" s="510" t="str">
        <x:v>Includes power; negative cash line.</x:v>
      </x:c>
    </x:row>
    <x:row r="219" ht="17.110000610351562" hidden="0" customHeight="1">
      <x:c r="P219" s="589" t="str">
        <x:v>NET OPERATING INCOME</x:v>
      </x:c>
      <x:c r="Q219" s="1045" t="n">
        <x:f>E05_Landlord!D19</x:f>
        <x:v>19750000</x:v>
      </x:c>
      <x:c r="R219" s="654" t="str">
        <x:v>Landlord tab</x:v>
      </x:c>
      <x:c r="S219" s="654" t="str">
        <x:v>Before capital reserve and debt.</x:v>
      </x:c>
    </x:row>
    <x:row r="220" ht="17.110000610351562" hidden="0" customHeight="1">
      <x:c r="P220" s="509" t="str">
        <x:v>Facility capital reserve</x:v>
      </x:c>
      <x:c r="Q220" s="1036" t="n">
        <x:f>E05_Landlord!D20</x:f>
        <x:v>-1000000</x:v>
      </x:c>
      <x:c r="R220" s="510" t="str">
        <x:v>Landlord tab</x:v>
      </x:c>
      <x:c r="S220" s="510" t="str">
        <x:v>Below NOI in this model.</x:v>
      </x:c>
    </x:row>
    <x:row r="221" ht="17.110000610351562" hidden="0" customHeight="1">
      <x:c r="P221" s="597" t="str">
        <x:v>After-reserve cash</x:v>
      </x:c>
      <x:c r="Q221" s="1037" t="n">
        <x:f>E05_Landlord!D21</x:f>
        <x:v>18750000</x:v>
      </x:c>
      <x:c r="R221" s="599" t="str">
        <x:v>Landlord tab</x:v>
      </x:c>
      <x:c r="S221" s="599" t="str">
        <x:v>Funds interest under assumed debt.</x:v>
      </x:c>
    </x:row>
    <x:row r="222" ht="17.110000610351562" hidden="0" customHeight="1">
      <x:c r="P222" s="509" t="str">
        <x:v>Interest-only debt service</x:v>
      </x:c>
      <x:c r="Q222" s="1036" t="n">
        <x:f>E05_Landlord!D22</x:f>
        <x:v>-8185800.000000001</x:v>
      </x:c>
      <x:c r="R222" s="510" t="str">
        <x:v>Landlord tab</x:v>
      </x:c>
      <x:c r="S222" s="510" t="str">
        <x:v>No amortization in this scenario.</x:v>
      </x:c>
    </x:row>
    <x:row r="223" ht="17.110000610351562" hidden="0" customHeight="1">
      <x:c r="P223" s="589" t="str">
        <x:v>CASH TO EQUITY</x:v>
      </x:c>
      <x:c r="Q223" s="1045" t="n">
        <x:f>E05_Landlord!D23</x:f>
        <x:v>10564200</x:v>
      </x:c>
      <x:c r="R223" s="654" t="str">
        <x:v>Landlord tab</x:v>
      </x:c>
      <x:c r="S223" s="654" t="str">
        <x:v>Assumes full collections; before income tax.</x:v>
      </x:c>
    </x:row>
    <x:row r="224" ht="16" hidden="0" customHeight="1">
      <x:c r="P224" s="684" t="str">
        <x:v>RISK, CREDIT AND EXIT</x:v>
      </x:c>
      <x:c r="Q224" s="1047"/>
      <x:c r="R224" s="685" t="str"/>
      <x:c r="S224" s="685" t="str"/>
    </x:row>
    <x:row r="225" ht="17.110000610351562" hidden="0" customHeight="1">
      <x:c r="P225" s="597" t="str">
        <x:v>NOI debt coverage</x:v>
      </x:c>
      <x:c r="Q225" s="666" t="n">
        <x:f>E05_Landlord!D25</x:f>
        <x:v>2.4127147010677024</x:v>
      </x:c>
      <x:c r="R225" s="599" t="str">
        <x:v>Landlord tab</x:v>
      </x:c>
      <x:c r="S225" s="599" t="str">
        <x:v>NOI divided by interest.</x:v>
      </x:c>
    </x:row>
    <x:row r="226" ht="17.110000610351562" hidden="0" customHeight="1">
      <x:c r="P226" s="509" t="str">
        <x:v>After-reserve coverage</x:v>
      </x:c>
      <x:c r="Q226" s="668" t="n">
        <x:f>E05_Landlord!D26</x:f>
        <x:v>2.2905519313933884</x:v>
      </x:c>
      <x:c r="R226" s="510" t="str">
        <x:v>Landlord tab</x:v>
      </x:c>
      <x:c r="S226" s="510" t="str">
        <x:v>After-reserve cash divided by interest.</x:v>
      </x:c>
    </x:row>
    <x:row r="227" ht="17.110000610351562" hidden="0" customHeight="1">
      <x:c r="P227" s="589" t="str">
        <x:v>NOI / development cost</x:v>
      </x:c>
      <x:c r="Q227" s="661" t="n">
        <x:f>E05_Landlord!D27</x:f>
        <x:v>0.09507597894560499</x:v>
      </x:c>
      <x:c r="R227" s="654" t="str">
        <x:v>Landlord tab</x:v>
      </x:c>
      <x:c r="S227" s="654" t="str">
        <x:v>Year-1 NOI / Total Development Cost.</x:v>
      </x:c>
    </x:row>
    <x:row r="228" ht="17.110000610351562" hidden="0" customHeight="1">
      <x:c r="P228" s="509" t="str">
        <x:v>Cash-on-cash on equity</x:v>
      </x:c>
      <x:c r="Q228" s="611" t="n">
        <x:f>E05_Landlord!D28</x:f>
        <x:v>0.11636042410611024</x:v>
      </x:c>
      <x:c r="R228" s="510" t="str">
        <x:v>Landlord tab</x:v>
      </x:c>
      <x:c r="S228" s="510" t="str">
        <x:v>Year-one equity payout ratio.</x:v>
      </x:c>
    </x:row>
    <x:row r="229" ht="17.110000610351562" hidden="0" customHeight="1">
      <x:c r="P229" s="597" t="str">
        <x:v>Tenant rent + electricity bill</x:v>
      </x:c>
      <x:c r="Q229" s="1037" t="n">
        <x:f>E05_Landlord!D29</x:f>
        <x:v>43101230.4</x:v>
      </x:c>
      <x:c r="R229" s="599" t="str">
        <x:v>Landlord tab</x:v>
      </x:c>
      <x:c r="S229" s="599" t="str">
        <x:v>Tenant pays utility in addition to rent.</x:v>
      </x:c>
    </x:row>
    <x:row r="230" ht="17.110000610351562" hidden="0" customHeight="1">
      <x:c r="P230" s="509" t="str">
        <x:v>Year 10 rent</x:v>
      </x:c>
      <x:c r="Q230" s="1036" t="n">
        <x:f>E05_Landlord!D30</x:f>
        <x:v>33719300.188586965</x:v>
      </x:c>
      <x:c r="R230" s="510" t="str">
        <x:v>Landlord tab</x:v>
      </x:c>
      <x:c r="S230" s="510" t="str">
        <x:v>Remaining term matters at exit.</x:v>
      </x:c>
    </x:row>
    <x:row r="231" ht="17.110000610351562" hidden="0" customHeight="1">
      <x:c r="P231" s="597" t="str">
        <x:v>Year 10 NOI</x:v>
      </x:c>
      <x:c r="Q231" s="1037" t="n">
        <x:f>E05_Landlord!D31</x:f>
        <x:v>24259694.605824944</x:v>
      </x:c>
      <x:c r="R231" s="599" t="str">
        <x:v>Landlord tab</x:v>
      </x:c>
      <x:c r="S231" s="599" t="str">
        <x:v>Feeds year-11 exit approach.</x:v>
      </x:c>
    </x:row>
    <x:row r="232" ht="17.110000610351562" hidden="0" customHeight="1">
      <x:c r="P232" s="509" t="str">
        <x:v>Net equity sale proceeds</x:v>
      </x:c>
      <x:c r="Q232" s="1036" t="n">
        <x:f>E05_Landlord!D32</x:f>
        <x:v>230524445.20279455</x:v>
      </x:c>
      <x:c r="R232" s="510" t="str">
        <x:v>Landlord tab</x:v>
      </x:c>
      <x:c r="S232" s="510" t="str">
        <x:v>Highly exit-cap dependent.</x:v>
      </x:c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13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4:F34"/>
    <x:mergeCell ref="C3:D3"/>
    <x:mergeCell ref="C4:F4"/>
    <x:mergeCell ref="C5:F5"/>
    <x:mergeCell ref="C7:F7"/>
    <x:mergeCell ref="C11:F11"/>
    <x:mergeCell ref="C24:F24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4:S224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4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1.23046875" customWidth="1"/>
    <x:col min="4" max="4" width="20" customWidth="1"/>
    <x:col min="5" max="5" width="21.23046875" customWidth="1"/>
    <x:col min="6" max="6" width="61.230468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600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601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602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603</x:v>
      </x:c>
      <x:c r="D6" s="623" t="s">
        <x:v>237</x:v>
      </x:c>
      <x:c r="E6" s="623" t="s">
        <x:v>238</x:v>
      </x:c>
      <x:c r="F6" s="623" t="s">
        <x:v>604</x:v>
      </x:c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605</x:v>
      </x:c>
      <x:c r="D7" s="883" t="n">
        <x:f>Inputs!D7*Inputs!D8</x:f>
        <x:v>10000</x:v>
      </x:c>
      <x:c r="E7" s="453" t="s">
        <x:v>606</x:v>
      </x:c>
      <x:c r="F7" s="453" t="s">
        <x:v>607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608</x:v>
      </x:c>
      <x:c r="D8" s="472" t="n">
        <x:f>Inputs!D24</x:f>
        <x:v>0.85</x:v>
      </x:c>
      <x:c r="E8" s="450" t="s">
        <x:v>272</x:v>
      </x:c>
      <x:c r="F8" s="450" t="s">
        <x:v>609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454" t="s">
        <x:v>610</x:v>
      </x:c>
      <x:c r="D9" s="885" t="n">
        <x:f>D7*D8</x:f>
        <x:v>8500</x:v>
      </x:c>
      <x:c r="E9" s="453" t="s">
        <x:v>606</x:v>
      </x:c>
      <x:c r="F9" s="453" t="s">
        <x:v>611</x:v>
      </x:c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451" t="s">
        <x:v>612</x:v>
      </x:c>
      <x:c r="D10" s="887" t="n">
        <x:f>Inputs!D15</x:f>
        <x:v>8760</x:v>
      </x:c>
      <x:c r="E10" s="450" t="s">
        <x:v>262</x:v>
      </x:c>
      <x:c r="F10" s="450" t="s">
        <x:v>613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614</x:v>
      </x:c>
      <x:c r="D11" s="885" t="n">
        <x:f>D9*D10</x:f>
        <x:v>74460000</x:v>
      </x:c>
      <x:c r="E11" s="453" t="s">
        <x:v>615</x:v>
      </x:c>
      <x:c r="F11" s="453" t="s">
        <x:v>616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617</x:v>
      </x:c>
      <x:c r="D12" s="889" t="n">
        <x:f>Inputs!D25</x:f>
        <x:v>1.36</x:v>
      </x:c>
      <x:c r="E12" s="450" t="s">
        <x:v>618</x:v>
      </x:c>
      <x:c r="F12" s="450" t="s">
        <x:v>619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620</x:v>
      </x:c>
      <x:c r="D13" s="885" t="n">
        <x:f>D11*D12</x:f>
        <x:v>101265600</x:v>
      </x:c>
      <x:c r="E13" s="453" t="s">
        <x:v>615</x:v>
      </x:c>
      <x:c r="F13" s="453" t="s">
        <x:v>621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622</x:v>
      </x:c>
      <x:c r="D14" s="891" t="n">
        <x:f>D13-D11</x:f>
        <x:v>26805600</x:v>
      </x:c>
      <x:c r="E14" s="450" t="s">
        <x:v>615</x:v>
      </x:c>
      <x:c r="F14" s="450" t="s">
        <x:v>623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624</x:v>
      </x:c>
      <x:c r="D15" s="893" t="n">
        <x:f>Inputs!D26</x:f>
        <x:v>0.159</x:v>
      </x:c>
      <x:c r="E15" s="453" t="s">
        <x:v>287</x:v>
      </x:c>
      <x:c r="F15" s="453" t="s">
        <x:v>625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626</x:v>
      </x:c>
      <x:c r="D16" s="895" t="n">
        <x:f>D11*D15</x:f>
        <x:v>11839140</x:v>
      </x:c>
      <x:c r="E16" s="450" t="s">
        <x:v>308</x:v>
      </x:c>
      <x:c r="F16" s="450" t="s">
        <x:v>627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628</x:v>
      </x:c>
      <x:c r="D17" s="897" t="n">
        <x:f>D14*D15</x:f>
        <x:v>4262090.4</x:v>
      </x:c>
      <x:c r="E17" s="453" t="s">
        <x:v>308</x:v>
      </x:c>
      <x:c r="F17" s="453" t="s">
        <x:v>629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644" t="s">
        <x:v>630</x:v>
      </x:c>
      <x:c r="D18" s="899" t="n">
        <x:f>SUM(D16:D17)</x:f>
        <x:v>16101230.4</x:v>
      </x:c>
      <x:c r="E18" s="645" t="s">
        <x:v>308</x:v>
      </x:c>
      <x:c r="F18" s="645" t="s">
        <x:v>631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632</x:v>
      </x:c>
      <x:c r="D19" s="901" t="n">
        <x:f>D18/Inputs!D16</x:f>
        <x:v>1341769.2</x:v>
      </x:c>
      <x:c r="E19" s="453" t="s">
        <x:v>633</x:v>
      </x:c>
      <x:c r="F19" s="453" t="s">
        <x:v>634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635</x:v>
      </x:c>
      <x:c r="D20" s="889" t="n">
        <x:f>D9*D12/Inputs!D8</x:f>
        <x:v>11.56</x:v>
      </x:c>
      <x:c r="E20" s="450" t="s">
        <x:v>241</x:v>
      </x:c>
      <x:c r="F20" s="450" t="s">
        <x:v>636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637</x:v>
      </x:c>
      <x:c r="D21" s="903" t="n">
        <x:f>Inputs!D7*D12</x:f>
        <x:v>13.600000000000001</x:v>
      </x:c>
      <x:c r="E21" s="453" t="s">
        <x:v>241</x:v>
      </x:c>
      <x:c r="F21" s="453" t="s">
        <x:v>638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639</x:v>
      </x:c>
      <x:c r="D22" s="905" t="n">
        <x:f>1/D12</x:f>
        <x:v>0.7352941176470588</x:v>
      </x:c>
      <x:c r="E22" s="450" t="s">
        <x:v>272</x:v>
      </x:c>
      <x:c r="F22" s="450" t="s">
        <x:v>640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641</x:v>
      </x:c>
      <x:c r="D23" s="907" t="n">
        <x:f>1-D22</x:f>
        <x:v>0.26470588235294124</x:v>
      </x:c>
      <x:c r="E23" s="453" t="s">
        <x:v>272</x:v>
      </x:c>
      <x:c r="F23" s="453" t="s">
        <x:v>642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643</x:v>
      </x:c>
      <x:c r="D24" s="480" t="n">
        <x:f>D18/D7/Inputs!D16</x:f>
        <x:v>134.17692</x:v>
      </x:c>
      <x:c r="E24" s="450" t="s">
        <x:v>644</x:v>
      </x:c>
      <x:c r="F24" s="450" t="s">
        <x:v>645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9" customHeight="1">
      <x:c r="A25" s="4"/>
      <x:c r="B25" s="5"/>
      <x:c r="C25" s="454"/>
      <x:c r="D25" s="453"/>
      <x:c r="E25" s="453"/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22.200000762939453" customHeight="1">
      <x:c r="A26" s="4"/>
      <x:c r="B26" s="5"/>
      <x:c r="C26" s="621" t="s">
        <x:v>646</x:v>
      </x:c>
      <x:c r="D26" s="453"/>
      <x:c r="E26" s="453"/>
      <x:c r="F26" s="453"/>
      <x:c r="G26" s="579"/>
      <x:c r="H26" s="579"/>
      <x:c r="I26" s="579"/>
      <x:c r="J26" s="579"/>
      <x:c r="K26" s="579"/>
      <x:c r="L26" s="579"/>
      <x:c r="M26" s="579"/>
      <x:c r="N26" s="579"/>
    </x:row>
    <x:row r="27" ht="9" customHeight="1">
      <x:c r="A27" s="4"/>
      <x:c r="B27" s="5"/>
      <x:c r="C27" s="454"/>
      <x:c r="D27" s="453"/>
      <x:c r="E27" s="453"/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9" customHeight="1">
      <x:c r="A28" s="4"/>
      <x:c r="B28" s="5"/>
      <x:c r="C28" s="454"/>
      <x:c r="D28" s="453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 ht="34" customHeight="1">
      <x:c r="A29" s="4"/>
      <x:c r="B29" s="5"/>
      <x:c r="C29" s="622" t="s">
        <x:v>647</x:v>
      </x:c>
      <x:c r="D29" s="623" t="s">
        <x:v>648</x:v>
      </x:c>
      <x:c r="E29" s="623" t="s">
        <x:v>649</x:v>
      </x:c>
      <x:c r="F29" s="623" t="s">
        <x:v>650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773">
        <x:v>0.5</x:v>
      </x:c>
      <x:c r="D30" s="634" t="n">
        <x:f>$D$7*C30*$D$10*$D$12/Inputs!$D$8</x:f>
        <x:v>59568.00000000001</x:v>
      </x:c>
      <x:c r="E30" s="449" t="n">
        <x:f>D30*Inputs!$D$8*$D$15</x:f>
        <x:v>9471312.000000002</x:v>
      </x:c>
      <x:c r="F30" s="449" t="n">
        <x:f>Landlord!D9</x:f>
        <x:v>27000000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22.75" customHeight="1">
      <x:c r="A31" s="4"/>
      <x:c r="B31" s="5"/>
      <x:c r="C31" s="774">
        <x:v>0.7</x:v>
      </x:c>
      <x:c r="D31" s="643" t="n">
        <x:f>$D$7*C31*$D$10*$D$12/Inputs!$D$8</x:f>
        <x:v>83395.2</x:v>
      </x:c>
      <x:c r="E31" s="452" t="n">
        <x:f>D31*Inputs!$D$8*$D$15</x:f>
        <x:v>13259836.8</x:v>
      </x:c>
      <x:c r="F31" s="452" t="n">
        <x:f>Landlord!D9</x:f>
        <x:v>27000000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22.75" customHeight="1">
      <x:c r="A32" s="4"/>
      <x:c r="B32" s="5"/>
      <x:c r="C32" s="773">
        <x:v>0.85</x:v>
      </x:c>
      <x:c r="D32" s="634" t="n">
        <x:f>$D$7*C32*$D$10*$D$12/Inputs!$D$8</x:f>
        <x:v>101265.6</x:v>
      </x:c>
      <x:c r="E32" s="449" t="n">
        <x:f>D32*Inputs!$D$8*$D$15</x:f>
        <x:v>16101230.4</x:v>
      </x:c>
      <x:c r="F32" s="449" t="n">
        <x:f>Landlord!D9</x:f>
        <x:v>27000000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22.75" customHeight="1">
      <x:c r="A33" s="4"/>
      <x:c r="B33" s="5"/>
      <x:c r="C33" s="774">
        <x:v>1</x:v>
      </x:c>
      <x:c r="D33" s="643" t="n">
        <x:f>$D$7*C33*$D$10*$D$12/Inputs!$D$8</x:f>
        <x:v>119136.00000000001</x:v>
      </x:c>
      <x:c r="E33" s="452" t="n">
        <x:f>D33*Inputs!$D$8*$D$15</x:f>
        <x:v>18942624.000000004</x:v>
      </x:c>
      <x:c r="F33" s="452" t="n">
        <x:f>Landlord!D9</x:f>
        <x:v>27000000</x:v>
      </x:c>
      <x:c r="G33" s="579"/>
      <x:c r="H33" s="579"/>
      <x:c r="I33" s="579"/>
      <x:c r="J33" s="579"/>
      <x:c r="K33" s="579"/>
      <x:c r="L33" s="579"/>
      <x:c r="M33" s="579"/>
      <x:c r="N33" s="579"/>
    </x:row>
    <x:row r="34" ht="9" customHeight="1">
      <x:c r="A34" s="4"/>
      <x:c r="B34" s="5"/>
      <x:c r="C34" s="454"/>
      <x:c r="D34" s="453"/>
      <x:c r="E34" s="453"/>
      <x:c r="F34" s="453"/>
      <x:c r="G34" s="579"/>
      <x:c r="H34" s="579"/>
      <x:c r="I34" s="579"/>
      <x:c r="J34" s="579"/>
      <x:c r="K34" s="579"/>
      <x:c r="L34" s="579"/>
      <x:c r="M34" s="579"/>
      <x:c r="N34" s="579"/>
    </x:row>
    <x:row r="35" ht="22.200000762939453" customHeight="1">
      <x:c r="A35" s="4"/>
      <x:c r="B35" s="5"/>
      <x:c r="C35" s="621" t="s">
        <x:v>651</x:v>
      </x:c>
      <x:c r="D35" s="453"/>
      <x:c r="E35" s="453"/>
      <x:c r="F35" s="453"/>
      <x:c r="G35" s="579"/>
      <x:c r="H35" s="579"/>
      <x:c r="I35" s="579"/>
      <x:c r="J35" s="579"/>
      <x:c r="K35" s="579"/>
      <x:c r="L35" s="579"/>
      <x:c r="M35" s="579"/>
      <x:c r="N35" s="579"/>
    </x:row>
    <x:row r="36" ht="9" customHeight="1">
      <x:c r="A36" s="4"/>
      <x:c r="B36" s="5"/>
      <x:c r="C36" s="454"/>
      <x:c r="D36" s="453"/>
      <x:c r="E36" s="453"/>
      <x:c r="F36" s="453"/>
      <x:c r="G36" s="579"/>
      <x:c r="H36" s="579"/>
      <x:c r="I36" s="579"/>
      <x:c r="J36" s="579"/>
      <x:c r="K36" s="579"/>
      <x:c r="L36" s="579"/>
      <x:c r="M36" s="579"/>
      <x:c r="N36" s="579"/>
    </x:row>
    <x:row r="37" ht="9" customHeight="1">
      <x:c r="A37" s="4"/>
      <x:c r="B37" s="5"/>
      <x:c r="C37" s="454"/>
      <x:c r="D37" s="453"/>
      <x:c r="E37" s="453"/>
      <x:c r="F37" s="453"/>
      <x:c r="G37" s="579"/>
      <x:c r="H37" s="579"/>
      <x:c r="I37" s="579"/>
      <x:c r="J37" s="579"/>
      <x:c r="K37" s="579"/>
      <x:c r="L37" s="579"/>
      <x:c r="M37" s="579"/>
      <x:c r="N37" s="579"/>
    </x:row>
    <x:row r="38" ht="34" customHeight="1">
      <x:c r="A38" s="4"/>
      <x:c r="B38" s="5"/>
      <x:c r="C38" s="622" t="s">
        <x:v>652</x:v>
      </x:c>
      <x:c r="D38" s="623" t="s">
        <x:v>649</x:v>
      </x:c>
      <x:c r="E38" s="623" t="s">
        <x:v>653</x:v>
      </x:c>
      <x:c r="F38" s="623" t="s">
        <x:v>654</x:v>
      </x:c>
      <x:c r="G38" s="579"/>
      <x:c r="H38" s="579"/>
      <x:c r="I38" s="579"/>
      <x:c r="J38" s="579"/>
      <x:c r="K38" s="579"/>
      <x:c r="L38" s="579"/>
      <x:c r="M38" s="579"/>
      <x:c r="N38" s="579"/>
    </x:row>
    <x:row r="39" ht="22.75" customHeight="1">
      <x:c r="A39" s="4"/>
      <x:c r="B39" s="5"/>
      <x:c r="C39" s="775">
        <x:v>1.2</x:v>
      </x:c>
      <x:c r="D39" s="732" t="n">
        <x:f>$D$11*C39*$D$15</x:f>
        <x:v>14206968</x:v>
      </x:c>
      <x:c r="E39" s="732" t="n">
        <x:f>D39-$D$18</x:f>
        <x:v>-1894262.4000000004</x:v>
      </x:c>
      <x:c r="F39" s="453"/>
      <x:c r="G39" s="579"/>
      <x:c r="H39" s="579"/>
      <x:c r="I39" s="579"/>
      <x:c r="J39" s="579"/>
      <x:c r="K39" s="579"/>
      <x:c r="L39" s="579"/>
      <x:c r="M39" s="579"/>
      <x:c r="N39" s="579"/>
    </x:row>
    <x:row r="40" ht="22.75" customHeight="1">
      <x:c r="A40" s="4"/>
      <x:c r="B40" s="5"/>
      <x:c r="C40" s="776">
        <x:v>1.36</x:v>
      </x:c>
      <x:c r="D40" s="731" t="n">
        <x:f>$D$11*C40*$D$15</x:f>
        <x:v>16101230.4</x:v>
      </x:c>
      <x:c r="E40" s="731" t="n">
        <x:f>D40-$D$18</x:f>
        <x:v>0</x:v>
      </x:c>
      <x:c r="F40" s="450"/>
      <x:c r="G40" s="579"/>
      <x:c r="H40" s="579"/>
      <x:c r="I40" s="579"/>
      <x:c r="J40" s="579"/>
      <x:c r="K40" s="579"/>
      <x:c r="L40" s="579"/>
      <x:c r="M40" s="579"/>
      <x:c r="N40" s="579"/>
    </x:row>
    <x:row r="41" ht="22.75" customHeight="1">
      <x:c r="A41" s="4"/>
      <x:c r="B41" s="5"/>
      <x:c r="C41" s="775">
        <x:v>1.5</x:v>
      </x:c>
      <x:c r="D41" s="732" t="n">
        <x:f>$D$11*C41*$D$15</x:f>
        <x:v>17758710</x:v>
      </x:c>
      <x:c r="E41" s="732" t="n">
        <x:f>D41-$D$18</x:f>
        <x:v>1657479.5999999996</x:v>
      </x:c>
      <x:c r="F41" s="453"/>
      <x:c r="G41" s="579"/>
      <x:c r="H41" s="579"/>
      <x:c r="I41" s="579"/>
      <x:c r="J41" s="579"/>
      <x:c r="K41" s="579"/>
      <x:c r="L41" s="579"/>
      <x:c r="M41" s="579"/>
      <x:c r="N41" s="579"/>
    </x:row>
    <x:row r="42" ht="22.75" customHeight="1">
      <x:c r="A42" s="4"/>
      <x:c r="B42" s="5"/>
      <x:c r="C42" s="776">
        <x:v>1.6</x:v>
      </x:c>
      <x:c r="D42" s="731" t="n">
        <x:f>$D$11*C42*$D$15</x:f>
        <x:v>18942624</x:v>
      </x:c>
      <x:c r="E42" s="731" t="n">
        <x:f>D42-$D$18</x:f>
        <x:v>2841393.5999999996</x:v>
      </x:c>
      <x:c r="F42" s="450"/>
      <x:c r="G42" s="579"/>
      <x:c r="H42" s="579"/>
      <x:c r="I42" s="579"/>
      <x:c r="J42" s="579"/>
      <x:c r="K42" s="579"/>
      <x:c r="L42" s="579"/>
      <x:c r="M42" s="579"/>
      <x:c r="N42" s="579"/>
    </x:row>
    <x:row r="43" ht="9" customHeight="1">
      <x:c r="A43" s="4"/>
      <x:c r="B43" s="5"/>
      <x:c r="C43" s="454"/>
      <x:c r="D43" s="453"/>
      <x:c r="E43" s="453"/>
      <x:c r="F43" s="453"/>
      <x:c r="G43" s="579"/>
      <x:c r="H43" s="579"/>
      <x:c r="I43" s="579"/>
      <x:c r="J43" s="579"/>
      <x:c r="K43" s="579"/>
      <x:c r="L43" s="579"/>
      <x:c r="M43" s="579"/>
      <x:c r="N43" s="579"/>
    </x:row>
    <x:row r="44" ht="9" customHeight="1">
      <x:c r="A44" s="4"/>
      <x:c r="B44" s="5"/>
      <x:c r="C44" s="454"/>
      <x:c r="D44" s="453"/>
      <x:c r="E44" s="453"/>
      <x:c r="F44" s="453"/>
      <x:c r="G44" s="579"/>
      <x:c r="H44" s="579"/>
      <x:c r="I44" s="579"/>
      <x:c r="J44" s="579"/>
      <x:c r="K44" s="579"/>
      <x:c r="L44" s="579"/>
      <x:c r="M44" s="579"/>
      <x:c r="N44" s="579"/>
    </x:row>
    <x:row r="45" ht="22.75" customHeight="1">
      <x:c r="A45" s="4"/>
      <x:c r="B45" s="5"/>
      <x:c r="C45" s="644" t="s">
        <x:v>655</x:v>
      </x:c>
      <x:c r="D45" s="32" t="n">
        <x:f>D13*Inputs!D73</x:f>
        <x:v>1012656</x:v>
      </x:c>
      <x:c r="E45" s="645"/>
      <x:c r="F45" s="645"/>
      <x:c r="G45" s="579"/>
      <x:c r="H45" s="579"/>
      <x:c r="I45" s="579"/>
      <x:c r="J45" s="579"/>
      <x:c r="K45" s="579"/>
      <x:c r="L45" s="579"/>
      <x:c r="M45" s="579"/>
      <x:c r="N45" s="579"/>
    </x:row>
    <x:row r="46" ht="9" customHeight="1">
      <x:c r="A46" s="4"/>
      <x:c r="B46" s="5"/>
      <x:c r="C46" s="454"/>
      <x:c r="D46" s="453"/>
      <x:c r="E46" s="453"/>
      <x:c r="F46" s="453"/>
      <x:c r="G46" s="579"/>
      <x:c r="H46" s="579"/>
      <x:c r="I46" s="579"/>
      <x:c r="J46" s="579"/>
      <x:c r="K46" s="579"/>
      <x:c r="L46" s="579"/>
      <x:c r="M46" s="579"/>
      <x:c r="N46" s="579"/>
    </x:row>
    <x:row r="47" ht="34.29999923706055" customHeight="1">
      <x:c r="A47" s="4"/>
      <x:c r="B47" s="5"/>
      <x:c r="C47" s="621" t="s">
        <x:v>656</x:v>
      </x:c>
      <x:c r="D47" s="453"/>
      <x:c r="E47" s="453"/>
      <x:c r="F47" s="453"/>
      <x:c r="G47" s="579"/>
      <x:c r="H47" s="579"/>
      <x:c r="I47" s="579"/>
      <x:c r="J47" s="579"/>
      <x:c r="K47" s="579"/>
      <x:c r="L47" s="579"/>
      <x:c r="M47" s="579"/>
      <x:c r="N47" s="579"/>
    </x:row>
    <x:row r="48" ht="9" customHeight="1">
      <x:c r="A48" s="4"/>
      <x:c r="B48" s="5"/>
      <x:c r="C48" s="454"/>
      <x:c r="D48" s="453"/>
      <x:c r="E48" s="453"/>
      <x:c r="F48" s="453"/>
      <x:c r="G48" s="579"/>
      <x:c r="H48" s="579"/>
      <x:c r="I48" s="579"/>
      <x:c r="J48" s="579"/>
      <x:c r="K48" s="579"/>
      <x:c r="L48" s="579"/>
      <x:c r="M48" s="579"/>
      <x:c r="N48" s="579"/>
    </x:row>
    <x:row r="49" ht="34.29999923706055" customHeight="1">
      <x:c r="A49" s="4"/>
      <x:c r="B49" s="5"/>
      <x:c r="C49" s="621" t="s">
        <x:v>657</x:v>
      </x:c>
      <x:c r="D49" s="453"/>
      <x:c r="E49" s="453"/>
      <x:c r="F49" s="453"/>
      <x:c r="G49" s="579"/>
      <x:c r="H49" s="579"/>
      <x:c r="I49" s="579"/>
      <x:c r="J49" s="579"/>
      <x:c r="K49" s="579"/>
      <x:c r="L49" s="579"/>
      <x:c r="M49" s="579"/>
      <x:c r="N49" s="579"/>
    </x:row>
    <x:row r="50" ht="9" customHeight="1">
      <x:c r="A50" s="4"/>
      <x:c r="B50" s="5"/>
      <x:c r="C50" s="454"/>
      <x:c r="D50" s="453"/>
      <x:c r="E50" s="453"/>
      <x:c r="F50" s="453"/>
      <x:c r="G50" s="579"/>
      <x:c r="H50" s="579"/>
      <x:c r="I50" s="579"/>
      <x:c r="J50" s="579"/>
      <x:c r="K50" s="579"/>
      <x:c r="L50" s="579"/>
      <x:c r="M50" s="579"/>
      <x:c r="N50" s="579"/>
    </x:row>
    <x:row r="51" ht="9" customHeight="1">
      <x:c r="A51" s="4"/>
      <x:c r="B51" s="5"/>
      <x:c r="C51" s="454"/>
      <x:c r="D51" s="453"/>
      <x:c r="E51" s="453"/>
      <x:c r="F51" s="453"/>
      <x:c r="G51" s="579"/>
      <x:c r="H51" s="579"/>
      <x:c r="I51" s="579"/>
      <x:c r="J51" s="579"/>
      <x:c r="K51" s="579"/>
      <x:c r="L51" s="579"/>
      <x:c r="M51" s="579"/>
      <x:c r="N51" s="579"/>
    </x:row>
    <x:row r="52" ht="9" customHeight="1">
      <x:c r="A52" s="4"/>
      <x:c r="B52" s="5"/>
      <x:c r="C52" s="454"/>
      <x:c r="D52" s="453"/>
      <x:c r="E52" s="453"/>
      <x:c r="F52" s="453"/>
      <x:c r="G52" s="579"/>
      <x:c r="H52" s="579"/>
      <x:c r="I52" s="579"/>
      <x:c r="J52" s="579"/>
      <x:c r="K52" s="579"/>
      <x:c r="L52" s="579"/>
      <x:c r="M52" s="579"/>
      <x:c r="N52" s="579"/>
    </x:row>
    <x:row r="53" ht="26.049999237060547" customHeight="1">
      <x:c r="A53" s="4"/>
      <x:c r="B53" s="5"/>
      <x:c r="C53" s="641" t="s">
        <x:v>658</x:v>
      </x:c>
      <x:c r="D53" s="642"/>
      <x:c r="E53" s="642"/>
      <x:c r="F53" s="642"/>
      <x:c r="G53" s="579"/>
      <x:c r="H53" s="579"/>
      <x:c r="I53" s="579"/>
      <x:c r="J53" s="579"/>
      <x:c r="K53" s="579"/>
      <x:c r="L53" s="579"/>
      <x:c r="M53" s="579"/>
      <x:c r="N53" s="579"/>
    </x:row>
    <x:row r="54" ht="22.200000762939453" customHeight="1">
      <x:c r="A54" s="4"/>
      <x:c r="B54" s="5"/>
      <x:c r="C54" s="621" t="s">
        <x:v>659</x:v>
      </x:c>
      <x:c r="D54" s="453"/>
      <x:c r="E54" s="453"/>
      <x:c r="F54" s="453"/>
      <x:c r="G54" s="579"/>
      <x:c r="H54" s="579"/>
      <x:c r="I54" s="579"/>
      <x:c r="J54" s="579"/>
      <x:c r="K54" s="579"/>
      <x:c r="L54" s="579"/>
      <x:c r="M54" s="579"/>
      <x:c r="N54" s="579"/>
    </x:row>
    <x:row r="55" ht="22.200000762939453" customHeight="1">
      <x:c r="A55" s="4"/>
      <x:c r="B55" s="5"/>
      <x:c r="C55" s="621" t="s">
        <x:v>660</x:v>
      </x:c>
      <x:c r="D55" s="453"/>
      <x:c r="E55" s="453"/>
      <x:c r="F55" s="453"/>
      <x:c r="G55" s="579"/>
      <x:c r="H55" s="579"/>
      <x:c r="I55" s="579"/>
      <x:c r="J55" s="579"/>
      <x:c r="K55" s="579"/>
      <x:c r="L55" s="579"/>
      <x:c r="M55" s="579"/>
      <x:c r="N55" s="579"/>
    </x:row>
    <x:row r="56" ht="22.200000762939453" customHeight="1">
      <x:c r="A56" s="4"/>
      <x:c r="B56" s="5"/>
      <x:c r="C56" s="621" t="s">
        <x:v>661</x:v>
      </x:c>
      <x:c r="D56" s="453"/>
      <x:c r="E56" s="453"/>
      <x:c r="F56" s="453"/>
      <x:c r="G56" s="579"/>
      <x:c r="H56" s="579"/>
      <x:c r="I56" s="579"/>
      <x:c r="J56" s="579"/>
      <x:c r="K56" s="579"/>
      <x:c r="L56" s="579"/>
      <x:c r="M56" s="579"/>
      <x:c r="N56" s="579"/>
    </x:row>
    <x:row r="57" ht="34.29999923706055" customHeight="1">
      <x:c r="A57" s="7"/>
      <x:c r="B57" s="8"/>
      <x:c r="C57" s="621" t="s">
        <x:v>662</x:v>
      </x:c>
      <x:c r="D57" s="453"/>
      <x:c r="E57" s="453"/>
      <x:c r="F57" s="453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06  |  ELECTRICITY &amp; CAPACITY ECONOMICS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does 10 MW mean for annual energy usage and expense?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10 MW IT capacity is not 10 MW of total utility service; loading and PUE determine annual energy.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Rated IT capacity</x:v>
      </x:c>
      <x:c r="Q211" s="1085" t="n">
        <x:f>D7</x:f>
        <x:v>10000</x:v>
      </x:c>
      <x:c r="R211" s="599" t="str">
        <x:v>Power tab</x:v>
      </x:c>
      <x:c r="S211" s="599" t="str">
        <x:v>Maximum IT service capacity in the example</x:v>
      </x:c>
    </x:row>
    <x:row r="212" ht="17.110000610351562" hidden="0" customHeight="1">
      <x:c r="P212" s="509" t="str">
        <x:v>Average electrical loading</x:v>
      </x:c>
      <x:c r="Q212" s="611" t="n">
        <x:f>D8</x:f>
        <x:v>0.85</x:v>
      </x:c>
      <x:c r="R212" s="510" t="str">
        <x:v>Power tab</x:v>
      </x:c>
      <x:c r="S212" s="510" t="str">
        <x:v>Average IT draw / rated IT capacity</x:v>
      </x:c>
    </x:row>
    <x:row r="213" ht="17.110000610351562" hidden="0" customHeight="1">
      <x:c r="P213" s="597" t="str">
        <x:v>Average IT power</x:v>
      </x:c>
      <x:c r="Q213" s="1085" t="n">
        <x:f>D9</x:f>
        <x:v>8500</x:v>
      </x:c>
      <x:c r="R213" s="599" t="str">
        <x:v>Power tab</x:v>
      </x:c>
      <x:c r="S213" s="599" t="str">
        <x:v>10,000 × 85% = 8,500 kW</x:v>
      </x:c>
    </x:row>
    <x:row r="214" ht="17.110000610351562" hidden="0" customHeight="1">
      <x:c r="P214" s="509" t="str">
        <x:v>Hours in model year</x:v>
      </x:c>
      <x:c r="Q214" s="1086" t="n">
        <x:f>D10</x:f>
        <x:v>8760</x:v>
      </x:c>
      <x:c r="R214" s="510" t="str">
        <x:v>Power tab</x:v>
      </x:c>
      <x:c r="S214" s="510" t="str">
        <x:v>365 × 24</x:v>
      </x:c>
    </x:row>
    <x:row r="215" ht="17.110000610351562" hidden="0" customHeight="1">
      <x:c r="P215" s="597" t="str">
        <x:v>Annual IT energy</x:v>
      </x:c>
      <x:c r="Q215" s="1087" t="n">
        <x:f>D11</x:f>
        <x:v>74460000</x:v>
      </x:c>
      <x:c r="R215" s="599" t="str">
        <x:v>Power tab</x:v>
      </x:c>
      <x:c r="S215" s="599" t="str">
        <x:v>Power × hours</x:v>
      </x:c>
    </x:row>
    <x:row r="216" ht="17.110000610351562" hidden="0" customHeight="1">
      <x:c r="P216" s="509" t="str">
        <x:v>Annual energy PUE</x:v>
      </x:c>
      <x:c r="Q216" s="1053" t="n">
        <x:f>D12</x:f>
        <x:v>1.36</x:v>
      </x:c>
      <x:c r="R216" s="510" t="str">
        <x:v>Power tab</x:v>
      </x:c>
      <x:c r="S216" s="510" t="str">
        <x:v>Total facility energy / IT energy</x:v>
      </x:c>
    </x:row>
    <x:row r="217" ht="17.110000610351562" hidden="0" customHeight="1">
      <x:c r="P217" s="597" t="str">
        <x:v>Facility-support energy</x:v>
      </x:c>
      <x:c r="Q217" s="1087" t="n">
        <x:f>D14</x:f>
        <x:v>26805600</x:v>
      </x:c>
      <x:c r="R217" s="599" t="str">
        <x:v>Power tab</x:v>
      </x:c>
      <x:c r="S217" s="599" t="str">
        <x:v>Overhead above IT energy</x:v>
      </x:c>
    </x:row>
    <x:row r="218" ht="17.110000610351562" hidden="0" customHeight="1">
      <x:c r="P218" s="509" t="str">
        <x:v>All-in blended price benchmark</x:v>
      </x:c>
      <x:c r="Q218" s="1133" t="n">
        <x:f>D15</x:f>
        <x:v>0.159</x:v>
      </x:c>
      <x:c r="R218" s="510" t="str">
        <x:v>Power tab</x:v>
      </x:c>
      <x:c r="S218" s="510" t="str">
        <x:v>Class-average reference, not a tariff simulation</x:v>
      </x:c>
    </x:row>
    <x:row r="219" ht="17.110000610351562" hidden="0" customHeight="1">
      <x:c r="P219" s="597" t="str">
        <x:v>Electricity attributed to IT equipment</x:v>
      </x:c>
      <x:c r="Q219" s="1037" t="n">
        <x:f>D16</x:f>
        <x:v>11839140</x:v>
      </x:c>
      <x:c r="R219" s="599" t="str">
        <x:v>Power tab</x:v>
      </x:c>
      <x:c r="S219" s="599" t="str">
        <x:v>Computing-side portion of bill</x:v>
      </x:c>
    </x:row>
    <x:row r="220" ht="17.110000610351562" hidden="0" customHeight="1">
      <x:c r="P220" s="509" t="str">
        <x:v>TOTAL ANNUAL ELECTRICITY</x:v>
      </x:c>
      <x:c r="Q220" s="1036" t="n">
        <x:f>D18</x:f>
        <x:v>16101230.4</x:v>
      </x:c>
      <x:c r="R220" s="510" t="str">
        <x:v>Power tab</x:v>
      </x:c>
      <x:c r="S220" s="510" t="str">
        <x:v>Cost passed through to tenant at no markup</x:v>
      </x:c>
    </x:row>
    <x:row r="221" ht="17.110000610351562" hidden="0" customHeight="1">
      <x:c r="P221" s="597" t="str">
        <x:v>Average whole-facility draw</x:v>
      </x:c>
      <x:c r="Q221" s="1089" t="n">
        <x:f>D20</x:f>
        <x:v>11.56</x:v>
      </x:c>
      <x:c r="R221" s="599" t="str">
        <x:v>Power tab</x:v>
      </x:c>
      <x:c r="S221" s="599" t="str">
        <x:v>85% average loading × 1.36 PUE</x:v>
      </x:c>
    </x:row>
    <x:row r="222" ht="17.110000610351562" hidden="0" customHeight="1">
      <x:c r="P222" s="509" t="str">
        <x:v>IT share of total facility energy</x:v>
      </x:c>
      <x:c r="Q222" s="611" t="n">
        <x:f>D22</x:f>
        <x:v>0.7352941176470588</x:v>
      </x:c>
      <x:c r="R222" s="510" t="str">
        <x:v>Power tab</x:v>
      </x:c>
      <x:c r="S222" s="510" t="str">
        <x:v>PUE is not itself an efficiency percentage</x:v>
      </x:c>
    </x:row>
    <x:row r="223" ht="17.110000610351562" hidden="0" customHeight="1">
      <x:c r="P223" s="597" t="str">
        <x:v>Annual power / reserved kW / month</x:v>
      </x:c>
      <x:c r="Q223" s="1090" t="n">
        <x:f>D24</x:f>
        <x:v>134.17692</x:v>
      </x:c>
      <x:c r="R223" s="599" t="str">
        <x:v>Power tab</x:v>
      </x:c>
      <x:c r="S223" s="599" t="str">
        <x:v>Comparable unit, but this is energy expense, not rent</x:v>
      </x:c>
    </x:row>
    <x:row r="224" ht="17.110000610351562" hidden="0" customHeight="1">
      <x:c r="P224" s="509" t="str">
        <x:v>Cost of a $0.01/kWh rate increase</x:v>
      </x:c>
      <x:c r="Q224" s="1036" t="n">
        <x:f>D45</x:f>
        <x:v>1012656</x:v>
      </x:c>
      <x:c r="R224" s="510" t="str">
        <x:v>Power tab</x:v>
      </x:c>
      <x:c r="S224" s="510" t="str"/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14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56:F56"/>
    <x:mergeCell ref="C57:F57"/>
    <x:mergeCell ref="C47:F47"/>
    <x:mergeCell ref="C49:F49"/>
    <x:mergeCell ref="C53:F53"/>
    <x:mergeCell ref="C54:F54"/>
    <x:mergeCell ref="C55:F55"/>
    <x:mergeCell ref="C3:F3"/>
    <x:mergeCell ref="C4:F4"/>
    <x:mergeCell ref="C5:F5"/>
    <x:mergeCell ref="C26:F26"/>
    <x:mergeCell ref="C35:F35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5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663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664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665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666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667</x:v>
      </x:c>
      <x:c r="D12" s="1005" t="n">
        <x:f>Power!D7</x:f>
        <x:v>10000</x:v>
      </x:c>
      <x:c r="E12" s="450" t="str">
        <x:v>Power tab</x:v>
      </x:c>
      <x:c r="F12" s="450" t="s">
        <x:v>668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402</x:v>
      </x:c>
      <x:c r="D13" s="468" t="n">
        <x:f>Power!D8</x:f>
        <x:v>0.85</x:v>
      </x:c>
      <x:c r="E13" s="453" t="str">
        <x:v>Power tab</x:v>
      </x:c>
      <x:c r="F13" s="453" t="s">
        <x:v>669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670</x:v>
      </x:c>
      <x:c r="D14" s="1005" t="n">
        <x:f>Power!D9</x:f>
        <x:v>8500</x:v>
      </x:c>
      <x:c r="E14" s="450" t="str">
        <x:v>Power tab</x:v>
      </x:c>
      <x:c r="F14" s="450" t="s">
        <x:v>671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612</x:v>
      </x:c>
      <x:c r="D15" s="1006" t="n">
        <x:f>Power!D10</x:f>
        <x:v>8760</x:v>
      </x:c>
      <x:c r="E15" s="453" t="str">
        <x:v>Power tab</x:v>
      </x:c>
      <x:c r="F15" s="453" t="s">
        <x:v>672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614</x:v>
      </x:c>
      <x:c r="D16" s="1139" t="n">
        <x:f>Power!D11/1000</x:f>
        <x:v>74460</x:v>
      </x:c>
      <x:c r="E16" s="450" t="str">
        <x:v>Power tab</x:v>
      </x:c>
      <x:c r="F16" s="450" t="s">
        <x:v>673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674</x:v>
      </x:c>
      <x:c r="D17" s="903" t="n">
        <x:f>Power!D12</x:f>
        <x:v>1.36</x:v>
      </x:c>
      <x:c r="E17" s="453" t="str">
        <x:v>Power tab</x:v>
      </x:c>
      <x:c r="F17" s="453" t="s">
        <x:v>405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675</x:v>
      </x:c>
      <x:c r="D18" s="1139" t="n">
        <x:f>Power!D13/1000</x:f>
        <x:v>101265.6</x:v>
      </x:c>
      <x:c r="E18" s="450" t="str">
        <x:v>Power tab</x:v>
      </x:c>
      <x:c r="F18" s="450" t="s">
        <x:v>676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622</x:v>
      </x:c>
      <x:c r="D19" s="1143" t="n">
        <x:f>Power!D14/1000</x:f>
        <x:v>26805.6</x:v>
      </x:c>
      <x:c r="E19" s="453" t="str">
        <x:v>Power tab</x:v>
      </x:c>
      <x:c r="F19" s="453" t="s">
        <x:v>677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678</x:v>
      </x:c>
      <x:c r="D20" s="1137" t="n">
        <x:f>Power!D15</x:f>
        <x:v>0.159</x:v>
      </x:c>
      <x:c r="E20" s="450" t="str">
        <x:v>Power tab</x:v>
      </x:c>
      <x:c r="F20" s="450" t="s">
        <x:v>679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680</x:v>
      </x:c>
      <x:c r="D21" s="901" t="n">
        <x:f>Power!D18</x:f>
        <x:v>16101230.4</x:v>
      </x:c>
      <x:c r="E21" s="453" t="str">
        <x:v>Power tab</x:v>
      </x:c>
      <x:c r="F21" s="453" t="s">
        <x:v>681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682</x:v>
      </x:c>
      <x:c r="D22" s="913" t="n">
        <x:f>Power!D19</x:f>
        <x:v>1341769.2</x:v>
      </x:c>
      <x:c r="E22" s="450" t="str">
        <x:v>Power tab</x:v>
      </x:c>
      <x:c r="F22" s="450" t="s">
        <x:v>683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635</x:v>
      </x:c>
      <x:c r="D23" s="1010" t="n">
        <x:f>Power!D20</x:f>
        <x:v>11.56</x:v>
      </x:c>
      <x:c r="E23" s="453" t="str">
        <x:v>Power tab</x:v>
      </x:c>
      <x:c r="F23" s="453" t="s">
        <x:v>684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685</x:v>
      </x:c>
      <x:c r="D24" s="1011" t="n">
        <x:f>Power!D21</x:f>
        <x:v>13.600000000000001</x:v>
      </x:c>
      <x:c r="E24" s="450" t="str">
        <x:v>Power tab</x:v>
      </x:c>
      <x:c r="F24" s="450" t="s">
        <x:v>686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5" customHeight="1">
      <x:c r="A25" s="4"/>
      <x:c r="B25" s="5"/>
      <x:c r="C25" s="641" t="s">
        <x:v>687</x:v>
      </x:c>
      <x:c r="D25" s="977"/>
      <x:c r="E25" s="642"/>
      <x:c r="F25" s="642"/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688</x:v>
      </x:c>
      <x:c r="D26" s="913" t="n">
        <x:f>Power!E30</x:f>
        <x:v>9471312.000000002</x:v>
      </x:c>
      <x:c r="E26" s="450" t="str">
        <x:v>Power tab</x:v>
      </x:c>
      <x:c r="F26" s="450" t="s">
        <x:v>689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690</x:v>
      </x:c>
      <x:c r="D27" s="901" t="n">
        <x:f>Power!E32</x:f>
        <x:v>16101230.4</x:v>
      </x:c>
      <x:c r="E27" s="453" t="str">
        <x:v>Power tab</x:v>
      </x:c>
      <x:c r="F27" s="453" t="s">
        <x:v>691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692</x:v>
      </x:c>
      <x:c r="D28" s="913" t="n">
        <x:f>Power!E33</x:f>
        <x:v>18942624.000000004</x:v>
      </x:c>
      <x:c r="E28" s="450" t="str">
        <x:v>Power tab</x:v>
      </x:c>
      <x:c r="F28" s="450" t="s">
        <x:v>693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694</x:v>
      </x:c>
      <x:c r="D29" s="901" t="n">
        <x:f>Power!D45</x:f>
        <x:v>1012656</x:v>
      </x:c>
      <x:c r="E29" s="453" t="str">
        <x:v>Power tab</x:v>
      </x:c>
      <x:c r="F29" s="453" t="s">
        <x:v>695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9" customHeight="1">
      <x:c r="A30" s="4"/>
      <x:c r="B30" s="5"/>
      <x:c r="C30" s="454"/>
      <x:c r="D30" s="979"/>
      <x:c r="E30" s="453"/>
      <x:c r="F30" s="453"/>
      <x:c r="G30" s="579"/>
      <x:c r="H30" s="579"/>
      <x:c r="I30" s="579"/>
      <x:c r="J30" s="579"/>
      <x:c r="K30" s="579"/>
      <x:c r="L30" s="579"/>
      <x:c r="M30" s="579"/>
      <x:c r="N30" s="579"/>
    </x:row>
    <x:row r="31" ht="22.200000762939453" customHeight="1">
      <x:c r="A31" s="7"/>
      <x:c r="B31" s="8"/>
      <x:c r="C31" s="621" t="s">
        <x:v>233</x:v>
      </x:c>
      <x:c r="D31" s="979"/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06  |  ELECTRICITY &amp; CAPACITY ECONOMICS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does 10 MW mean for annual energy usage and expense?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10 MW IT capacity is not 10 MW of total utility service; loading and PUE determine annual energy.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FROM MEGAWATTS TO THE ELECTRICITY BILL</x:v>
      </x:c>
      <x:c r="Q211" s="1047"/>
      <x:c r="R211" s="685" t="str"/>
      <x:c r="S211" s="685" t="str"/>
    </x:row>
    <x:row r="212" ht="17.110000610351562" hidden="0" customHeight="1">
      <x:c r="P212" s="509" t="str">
        <x:v>Critical IT load</x:v>
      </x:c>
      <x:c r="Q212" s="1097" t="n">
        <x:f>E06_Power!D12</x:f>
        <x:v>10000</x:v>
      </x:c>
      <x:c r="R212" s="510" t="str">
        <x:v>Power tab</x:v>
      </x:c>
      <x:c r="S212" s="510" t="str">
        <x:v>10 MW × 1,000 kW.</x:v>
      </x:c>
    </x:row>
    <x:row r="213" ht="17.110000610351562" hidden="0" customHeight="1">
      <x:c r="P213" s="597" t="str">
        <x:v>Average IT electrical loading</x:v>
      </x:c>
      <x:c r="Q213" s="672" t="n">
        <x:f>E06_Power!D13</x:f>
        <x:v>0.85</x:v>
      </x:c>
      <x:c r="R213" s="599" t="str">
        <x:v>Power tab</x:v>
      </x:c>
      <x:c r="S213" s="599" t="str">
        <x:v>NOT lease occupancy or paid GPU utilization.</x:v>
      </x:c>
    </x:row>
    <x:row r="214" ht="17.110000610351562" hidden="0" customHeight="1">
      <x:c r="P214" s="509" t="str">
        <x:v>Average IT power draw</x:v>
      </x:c>
      <x:c r="Q214" s="1097" t="n">
        <x:f>E06_Power!D14</x:f>
        <x:v>8500</x:v>
      </x:c>
      <x:c r="R214" s="510" t="str">
        <x:v>Power tab</x:v>
      </x:c>
      <x:c r="S214" s="510" t="str">
        <x:v>Rated kW × average loading.</x:v>
      </x:c>
    </x:row>
    <x:row r="215" ht="17.110000610351562" hidden="0" customHeight="1">
      <x:c r="P215" s="597" t="str">
        <x:v>Hours in model year</x:v>
      </x:c>
      <x:c r="Q215" s="1098" t="n">
        <x:f>E06_Power!D15</x:f>
        <x:v>8760</x:v>
      </x:c>
      <x:c r="R215" s="599" t="str">
        <x:v>Power tab</x:v>
      </x:c>
      <x:c r="S215" s="599" t="str">
        <x:v>Non-leap year.</x:v>
      </x:c>
    </x:row>
    <x:row r="216" ht="17.110000610351562" hidden="0" customHeight="1">
      <x:c r="P216" s="509" t="str">
        <x:v>Annual IT energy</x:v>
      </x:c>
      <x:c r="Q216" s="1141" t="n">
        <x:f>E06_Power!D16</x:f>
        <x:v>74460</x:v>
      </x:c>
      <x:c r="R216" s="510" t="str">
        <x:v>Power tab</x:v>
      </x:c>
      <x:c r="S216" s="510" t="str">
        <x:v>IT kW × loading × 8,760 hours.</x:v>
      </x:c>
    </x:row>
    <x:row r="217" ht="17.110000610351562" hidden="0" customHeight="1">
      <x:c r="P217" s="597" t="str">
        <x:v>Annual PUE</x:v>
      </x:c>
      <x:c r="Q217" s="1100" t="n">
        <x:f>E06_Power!D17</x:f>
        <x:v>1.36</x:v>
      </x:c>
      <x:c r="R217" s="599" t="str">
        <x:v>Power tab</x:v>
      </x:c>
      <x:c r="S217" s="599" t="str">
        <x:v>Total facility energy / IT energy.</x:v>
      </x:c>
    </x:row>
    <x:row r="218" ht="17.110000610351562" hidden="0" customHeight="1">
      <x:c r="P218" s="509" t="str">
        <x:v>TOTAL FACILITY ENERGY</x:v>
      </x:c>
      <x:c r="Q218" s="1141" t="n">
        <x:f>E06_Power!D18</x:f>
        <x:v>101265.6</x:v>
      </x:c>
      <x:c r="R218" s="510" t="str">
        <x:v>Power tab</x:v>
      </x:c>
      <x:c r="S218" s="510" t="str">
        <x:v>Includes cooling and electrical losses.</x:v>
      </x:c>
    </x:row>
    <x:row r="219" ht="17.110000610351562" hidden="0" customHeight="1">
      <x:c r="P219" s="597" t="str">
        <x:v>Facility-support energy</x:v>
      </x:c>
      <x:c r="Q219" s="1145" t="n">
        <x:f>E06_Power!D19</x:f>
        <x:v>26805.6</x:v>
      </x:c>
      <x:c r="R219" s="599" t="str">
        <x:v>Power tab</x:v>
      </x:c>
      <x:c r="S219" s="599" t="str">
        <x:v>Overhead—not saleable compute.</x:v>
      </x:c>
    </x:row>
    <x:row r="220" ht="17.110000610351562" hidden="0" customHeight="1">
      <x:c r="P220" s="509" t="str">
        <x:v>Blended energy price</x:v>
      </x:c>
      <x:c r="Q220" s="1133" t="n">
        <x:f>E06_Power!D20</x:f>
        <x:v>0.159</x:v>
      </x:c>
      <x:c r="R220" s="510" t="str">
        <x:v>Power tab</x:v>
      </x:c>
      <x:c r="S220" s="510" t="str">
        <x:v>SVP benchmark; tariff-specific billing may differ.</x:v>
      </x:c>
    </x:row>
    <x:row r="221" ht="17.110000610351562" hidden="0" customHeight="1">
      <x:c r="P221" s="597" t="str">
        <x:v>TOTAL ELECTRICITY COST</x:v>
      </x:c>
      <x:c r="Q221" s="1037" t="n">
        <x:f>E06_Power!D21</x:f>
        <x:v>16101230.4</x:v>
      </x:c>
      <x:c r="R221" s="599" t="str">
        <x:v>Power tab</x:v>
      </x:c>
      <x:c r="S221" s="599" t="str">
        <x:v>Electricity reimbursed by modeled tenant.</x:v>
      </x:c>
    </x:row>
    <x:row r="222" ht="17.110000610351562" hidden="0" customHeight="1">
      <x:c r="P222" s="509" t="str">
        <x:v>Monthly equivalent</x:v>
      </x:c>
      <x:c r="Q222" s="1036" t="n">
        <x:f>E06_Power!D22</x:f>
        <x:v>1341769.2</x:v>
      </x:c>
      <x:c r="R222" s="510" t="str">
        <x:v>Power tab</x:v>
      </x:c>
      <x:c r="S222" s="510" t="str">
        <x:v>Annual / 12.</x:v>
      </x:c>
    </x:row>
    <x:row r="223" ht="17.110000610351562" hidden="0" customHeight="1">
      <x:c r="P223" s="597" t="str">
        <x:v>Average whole-facility draw</x:v>
      </x:c>
      <x:c r="Q223" s="1089" t="n">
        <x:f>E06_Power!D23</x:f>
        <x:v>11.56</x:v>
      </x:c>
      <x:c r="R223" s="599" t="str">
        <x:v>Power tab</x:v>
      </x:c>
      <x:c r="S223" s="599" t="str">
        <x:v>Energy-weighted annual average.</x:v>
      </x:c>
    </x:row>
    <x:row r="224" ht="17.110000610351562" hidden="0" customHeight="1">
      <x:c r="P224" s="509" t="str">
        <x:v>Indicative full-load facility draw</x:v>
      </x:c>
      <x:c r="Q224" s="1102" t="n">
        <x:f>E06_Power!D24</x:f>
        <x:v>13.600000000000001</x:v>
      </x:c>
      <x:c r="R224" s="510" t="str">
        <x:v>Power tab</x:v>
      </x:c>
      <x:c r="S224" s="510" t="str">
        <x:v>Not engineering connection sizing.</x:v>
      </x:c>
    </x:row>
    <x:row r="225" ht="16" hidden="0" customHeight="1">
      <x:c r="P225" s="684" t="str">
        <x:v>SENSITIVITY | DO NOT CONFUSE USAGE WITH RENT</x:v>
      </x:c>
      <x:c r="Q225" s="1047"/>
      <x:c r="R225" s="685" t="str"/>
      <x:c r="S225" s="685" t="str"/>
    </x:row>
    <x:row r="226" ht="17.110000610351562" hidden="0" customHeight="1">
      <x:c r="P226" s="509" t="str">
        <x:v>50% electrical loading | annual cost</x:v>
      </x:c>
      <x:c r="Q226" s="1036" t="n">
        <x:f>E06_Power!D26</x:f>
        <x:v>9471312.000000002</x:v>
      </x:c>
      <x:c r="R226" s="510" t="str">
        <x:v>Power tab</x:v>
      </x:c>
      <x:c r="S226" s="510" t="str">
        <x:v>Rent unchanged under assumed lease.</x:v>
      </x:c>
    </x:row>
    <x:row r="227" ht="17.110000610351562" hidden="0" customHeight="1">
      <x:c r="P227" s="597" t="str">
        <x:v>85% loading | annual cost</x:v>
      </x:c>
      <x:c r="Q227" s="1037" t="n">
        <x:f>E06_Power!D27</x:f>
        <x:v>16101230.4</x:v>
      </x:c>
      <x:c r="R227" s="599" t="str">
        <x:v>Power tab</x:v>
      </x:c>
      <x:c r="S227" s="599" t="str">
        <x:v>Base-case figure.</x:v>
      </x:c>
    </x:row>
    <x:row r="228" ht="17.110000610351562" hidden="0" customHeight="1">
      <x:c r="P228" s="509" t="str">
        <x:v>100% loading | annual cost</x:v>
      </x:c>
      <x:c r="Q228" s="1036" t="n">
        <x:f>E06_Power!D28</x:f>
        <x:v>18942624.000000004</x:v>
      </x:c>
      <x:c r="R228" s="510" t="str">
        <x:v>Power tab</x:v>
      </x:c>
      <x:c r="S228" s="510" t="str">
        <x:v>Actual PUE may change with loading.</x:v>
      </x:c>
    </x:row>
    <x:row r="229" ht="17.110000610351562" hidden="0" customHeight="1">
      <x:c r="P229" s="597" t="str">
        <x:v>Annual cost of +$0.01/kWh</x:v>
      </x:c>
      <x:c r="Q229" s="1037" t="n">
        <x:f>E06_Power!D29</x:f>
        <x:v>1012656</x:v>
      </x:c>
      <x:c r="R229" s="599" t="str">
        <x:v>Power tab</x:v>
      </x:c>
      <x:c r="S229" s="599" t="str">
        <x:v>Pass-through still affects tenant credit.</x:v>
      </x:c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15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1:F31"/>
    <x:mergeCell ref="C3:D3"/>
    <x:mergeCell ref="C4:F4"/>
    <x:mergeCell ref="C5:F5"/>
    <x:mergeCell ref="C7:F7"/>
    <x:mergeCell ref="C11:F11"/>
    <x:mergeCell ref="C25:F25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5:S225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6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.61328125" customWidth="1"/>
    <x:col min="4" max="4" width="21.84375" customWidth="1"/>
    <x:col min="5" max="5" width="25" customWidth="1"/>
    <x:col min="6" max="6" width="60.6132812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696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697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698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699</x:v>
      </x:c>
      <x:c r="D6" s="623" t="s">
        <x:v>700</x:v>
      </x:c>
      <x:c r="E6" s="623" t="s">
        <x:v>432</x:v>
      </x:c>
      <x:c r="F6" s="623" t="s">
        <x:v>701</x:v>
      </x:c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702</x:v>
      </x:c>
      <x:c r="D7" s="452" t="n">
        <x:f>Development!D25</x:f>
        <x:v>194900000</x:v>
      </x:c>
      <x:c r="E7" s="453" t="s">
        <x:v>703</x:v>
      </x:c>
      <x:c r="F7" s="453" t="s">
        <x:v>704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705</x:v>
      </x:c>
      <x:c r="D8" s="449" t="n">
        <x:f>Development!D30</x:f>
        <x:v>12828600.000000002</x:v>
      </x:c>
      <x:c r="E8" s="450" t="s">
        <x:v>703</x:v>
      </x:c>
      <x:c r="F8" s="450" t="s">
        <x:v>706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644" t="s">
        <x:v>707</x:v>
      </x:c>
      <x:c r="D9" s="32" t="n">
        <x:f>SUM(D7:D8)</x:f>
        <x:v>207728600</x:v>
      </x:c>
      <x:c r="E9" s="645" t="s">
        <x:v>703</x:v>
      </x:c>
      <x:c r="F9" s="645" t="s">
        <x:v>708</x:v>
      </x:c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451" t="s">
        <x:v>709</x:v>
      </x:c>
      <x:c r="D10" s="449" t="n">
        <x:f>Inputs!D61*Inputs!D62</x:f>
        <x:v>200000000</x:v>
      </x:c>
      <x:c r="E10" s="450" t="s">
        <x:v>710</x:v>
      </x:c>
      <x:c r="F10" s="450" t="s">
        <x:v>711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712</x:v>
      </x:c>
      <x:c r="D11" s="452" t="n">
        <x:f>Inputs!D63</x:f>
        <x:v>25000000</x:v>
      </x:c>
      <x:c r="E11" s="453" t="s">
        <x:v>710</x:v>
      </x:c>
      <x:c r="F11" s="453" t="s">
        <x:v>713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644" t="s">
        <x:v>714</x:v>
      </x:c>
      <x:c r="D12" s="32" t="n">
        <x:f>SUM(D10:D11)</x:f>
        <x:v>225000000</x:v>
      </x:c>
      <x:c r="E12" s="645" t="s">
        <x:v>710</x:v>
      </x:c>
      <x:c r="F12" s="645" t="s">
        <x:v>715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716</x:v>
      </x:c>
      <x:c r="D13" s="452" t="n">
        <x:f>Inputs!D64</x:f>
        <x:v>10000000</x:v>
      </x:c>
      <x:c r="E13" s="453" t="s">
        <x:v>717</x:v>
      </x:c>
      <x:c r="F13" s="453" t="s">
        <x:v>718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644" t="s">
        <x:v>719</x:v>
      </x:c>
      <x:c r="D14" s="32" t="n">
        <x:f>SUM(D9,D12:D13)</x:f>
        <x:v>442728600</x:v>
      </x:c>
      <x:c r="E14" s="645" t="s">
        <x:v>720</x:v>
      </x:c>
      <x:c r="F14" s="645" t="s">
        <x:v>721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9" customHeight="1">
      <x:c r="A15" s="4"/>
      <x:c r="B15" s="5"/>
      <x:c r="C15" s="454"/>
      <x:c r="D15" s="453"/>
      <x:c r="E15" s="453"/>
      <x:c r="F15" s="453"/>
      <x:c r="G15" s="579"/>
      <x:c r="H15" s="579"/>
      <x:c r="I15" s="579"/>
      <x:c r="J15" s="579"/>
      <x:c r="K15" s="579"/>
      <x:c r="L15" s="579"/>
      <x:c r="M15" s="579"/>
      <x:c r="N15" s="579"/>
    </x:row>
    <x:row r="16" ht="9" customHeight="1">
      <x:c r="A16" s="4"/>
      <x:c r="B16" s="5"/>
      <x:c r="C16" s="454"/>
      <x:c r="D16" s="453"/>
      <x:c r="E16" s="453"/>
      <x:c r="F16" s="453"/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722</x:v>
      </x:c>
      <x:c r="D17" s="725" t="n">
        <x:f>Inputs!D61</x:f>
        <x:v>4000</x:v>
      </x:c>
      <x:c r="E17" s="453" t="s">
        <x:v>354</x:v>
      </x:c>
      <x:c r="F17" s="453" t="s">
        <x:v>723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724</x:v>
      </x:c>
      <x:c r="D18" s="726" t="n">
        <x:f>Inputs!D15</x:f>
        <x:v>8760</x:v>
      </x:c>
      <x:c r="E18" s="450" t="s">
        <x:v>262</x:v>
      </x:c>
      <x:c r="F18" s="450"/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725</x:v>
      </x:c>
      <x:c r="D19" s="648" t="n">
        <x:f>Inputs!D66</x:f>
        <x:v>0.75</x:v>
      </x:c>
      <x:c r="E19" s="453" t="s">
        <x:v>272</x:v>
      </x:c>
      <x:c r="F19" s="453" t="s">
        <x:v>726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727</x:v>
      </x:c>
      <x:c r="D20" s="770" t="n">
        <x:f>D17*D18*D19</x:f>
        <x:v>26280000</x:v>
      </x:c>
      <x:c r="E20" s="450" t="s">
        <x:v>728</x:v>
      </x:c>
      <x:c r="F20" s="450"/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729</x:v>
      </x:c>
      <x:c r="D21" s="793" t="n">
        <x:f>Inputs!D65</x:f>
        <x:v>4</x:v>
      </x:c>
      <x:c r="E21" s="453" t="s">
        <x:v>364</x:v>
      </x:c>
      <x:c r="F21" s="453" t="s">
        <x:v>730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731</x:v>
      </x:c>
      <x:c r="D22" s="731" t="n">
        <x:f>D20*D21</x:f>
        <x:v>105120000</x:v>
      </x:c>
      <x:c r="E22" s="450" t="s">
        <x:v>308</x:v>
      </x:c>
      <x:c r="F22" s="450" t="s">
        <x:v>732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9" customHeight="1">
      <x:c r="A23" s="4"/>
      <x:c r="B23" s="5"/>
      <x:c r="C23" s="454"/>
      <x:c r="D23" s="453"/>
      <x:c r="E23" s="453"/>
      <x:c r="F23" s="453"/>
      <x:c r="G23" s="579"/>
      <x:c r="H23" s="579"/>
      <x:c r="I23" s="579"/>
      <x:c r="J23" s="579"/>
      <x:c r="K23" s="579"/>
      <x:c r="L23" s="579"/>
      <x:c r="M23" s="579"/>
      <x:c r="N23" s="579"/>
    </x:row>
    <x:row r="24" ht="34" customHeight="1">
      <x:c r="A24" s="4"/>
      <x:c r="B24" s="5"/>
      <x:c r="C24" s="622" t="s">
        <x:v>733</x:v>
      </x:c>
      <x:c r="D24" s="623" t="s">
        <x:v>734</x:v>
      </x:c>
      <x:c r="E24" s="623" t="s">
        <x:v>735</x:v>
      </x:c>
      <x:c r="F24" s="623" t="s">
        <x:v>736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737</x:v>
      </x:c>
      <x:c r="D25" s="732" t="n">
        <x:f>$D$22</x:f>
        <x:v>105120000</x:v>
      </x:c>
      <x:c r="E25" s="732" t="n">
        <x:f>$D$22</x:f>
        <x:v>105120000</x:v>
      </x:c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738</x:v>
      </x:c>
      <x:c r="D26" s="449" t="n">
        <x:f>-Landlord!D9</x:f>
        <x:v>-27000000</x:v>
      </x:c>
      <x:c r="E26" s="731" t="n">
        <x:f>0</x:f>
        <x:v>0</x:v>
      </x:c>
      <x:c r="F26" s="450" t="s">
        <x:v>739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740</x:v>
      </x:c>
      <x:c r="D27" s="452" t="n">
        <x:f>-Power!D18</x:f>
        <x:v>-16101230.4</x:v>
      </x:c>
      <x:c r="E27" s="452" t="n">
        <x:f>-Power!D18</x:f>
        <x:v>-16101230.4</x:v>
      </x:c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35.599998474121094" customHeight="1">
      <x:c r="A28" s="4"/>
      <x:c r="B28" s="5"/>
      <x:c r="C28" s="451" t="s">
        <x:v>741</x:v>
      </x:c>
      <x:c r="D28" s="731" t="n">
        <x:f>0</x:f>
        <x:v>0</x:v>
      </x:c>
      <x:c r="E28" s="449" t="n">
        <x:f>SUM(Landlord!D14:D19)</x:f>
        <x:v>-7250000</x:v>
      </x:c>
      <x:c r="F28" s="450" t="s">
        <x:v>742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743</x:v>
      </x:c>
      <x:c r="D29" s="452" t="n">
        <x:f>-Inputs!D68</x:f>
        <x:v>-10000000</x:v>
      </x:c>
      <x:c r="E29" s="452" t="n">
        <x:f>-Inputs!D68</x:f>
        <x:v>-10000000</x:v>
      </x:c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">
        <x:v>744</x:v>
      </x:c>
      <x:c r="D30" s="449" t="n">
        <x:f>-Inputs!D69</x:f>
        <x:v>-3000000</x:v>
      </x:c>
      <x:c r="E30" s="449" t="n">
        <x:f>-Inputs!D69</x:f>
        <x:v>-3000000</x:v>
      </x:c>
      <x:c r="F30" s="450"/>
      <x:c r="G30" s="579"/>
      <x:c r="H30" s="579"/>
      <x:c r="I30" s="579"/>
      <x:c r="J30" s="579"/>
      <x:c r="K30" s="579"/>
      <x:c r="L30" s="579"/>
      <x:c r="M30" s="579"/>
      <x:c r="N30" s="579"/>
    </x:row>
    <x:row r="31" ht="35.599998474121094" customHeight="1">
      <x:c r="A31" s="4"/>
      <x:c r="B31" s="5"/>
      <x:c r="C31" s="644" t="s">
        <x:v>745</x:v>
      </x:c>
      <x:c r="D31" s="32" t="n">
        <x:f>SUM(D25:D30)</x:f>
        <x:v>49018769.6</x:v>
      </x:c>
      <x:c r="E31" s="32" t="n">
        <x:f>SUM(E25:E30)</x:f>
        <x:v>68768769.6</x:v>
      </x:c>
      <x:c r="F31" s="645" t="s">
        <x:v>746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35.599998474121094" customHeight="1">
      <x:c r="A32" s="4"/>
      <x:c r="B32" s="5"/>
      <x:c r="C32" s="451" t="s">
        <x:v>747</x:v>
      </x:c>
      <x:c r="D32" s="449" t="n">
        <x:f>-$D$12/Inputs!D67</x:f>
        <x:v>-45000000</x:v>
      </x:c>
      <x:c r="E32" s="449" t="n">
        <x:f>-$D$12/Inputs!D67</x:f>
        <x:v>-45000000</x:v>
      </x:c>
      <x:c r="F32" s="450" t="s">
        <x:v>748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35.599998474121094" customHeight="1">
      <x:c r="A33" s="4"/>
      <x:c r="B33" s="5"/>
      <x:c r="C33" s="644" t="s">
        <x:v>749</x:v>
      </x:c>
      <x:c r="D33" s="32" t="n">
        <x:f>SUM(D31:D32)</x:f>
        <x:v>4018769.6000000015</x:v>
      </x:c>
      <x:c r="E33" s="32" t="n">
        <x:f>SUM(E31:E32)</x:f>
        <x:v>23768769.599999994</x:v>
      </x:c>
      <x:c r="F33" s="645" t="s">
        <x:v>750</x:v>
      </x:c>
      <x:c r="G33" s="579"/>
      <x:c r="H33" s="579"/>
      <x:c r="I33" s="579"/>
      <x:c r="J33" s="579"/>
      <x:c r="K33" s="579"/>
      <x:c r="L33" s="579"/>
      <x:c r="M33" s="579"/>
      <x:c r="N33" s="579"/>
    </x:row>
    <x:row r="34" ht="22.75" customHeight="1">
      <x:c r="A34" s="4"/>
      <x:c r="B34" s="5"/>
      <x:c r="C34" s="451" t="s">
        <x:v>751</x:v>
      </x:c>
      <x:c r="D34" s="731" t="n">
        <x:f>0</x:f>
        <x:v>0</x:v>
      </x:c>
      <x:c r="E34" s="449" t="n">
        <x:f>Landlord!D24</x:f>
        <x:v>-8185800.000000001</x:v>
      </x:c>
      <x:c r="F34" s="450"/>
      <x:c r="G34" s="579"/>
      <x:c r="H34" s="579"/>
      <x:c r="I34" s="579"/>
      <x:c r="J34" s="579"/>
      <x:c r="K34" s="579"/>
      <x:c r="L34" s="579"/>
      <x:c r="M34" s="579"/>
      <x:c r="N34" s="579"/>
    </x:row>
    <x:row r="35" ht="22.75" customHeight="1">
      <x:c r="A35" s="4"/>
      <x:c r="B35" s="5"/>
      <x:c r="C35" s="454" t="s">
        <x:v>580</x:v>
      </x:c>
      <x:c r="D35" s="732" t="n">
        <x:f>0</x:f>
        <x:v>0</x:v>
      </x:c>
      <x:c r="E35" s="452" t="n">
        <x:f>Landlord!D22</x:f>
        <x:v>-1000000</x:v>
      </x:c>
      <x:c r="F35" s="453"/>
      <x:c r="G35" s="579"/>
      <x:c r="H35" s="579"/>
      <x:c r="I35" s="579"/>
      <x:c r="J35" s="579"/>
      <x:c r="K35" s="579"/>
      <x:c r="L35" s="579"/>
      <x:c r="M35" s="579"/>
      <x:c r="N35" s="579"/>
    </x:row>
    <x:row r="36" ht="35.599998474121094" customHeight="1">
      <x:c r="A36" s="4"/>
      <x:c r="B36" s="5"/>
      <x:c r="C36" s="644" t="s">
        <x:v>752</x:v>
      </x:c>
      <x:c r="D36" s="32" t="n">
        <x:f>SUM(D33:D35)</x:f>
        <x:v>4018769.6000000015</x:v>
      </x:c>
      <x:c r="E36" s="32" t="n">
        <x:f>SUM(E33:E35)</x:f>
        <x:v>14582969.599999994</x:v>
      </x:c>
      <x:c r="F36" s="645" t="s">
        <x:v>753</x:v>
      </x:c>
      <x:c r="G36" s="579"/>
      <x:c r="H36" s="579"/>
      <x:c r="I36" s="579"/>
      <x:c r="J36" s="579"/>
      <x:c r="K36" s="579"/>
      <x:c r="L36" s="579"/>
      <x:c r="M36" s="579"/>
      <x:c r="N36" s="579"/>
    </x:row>
    <x:row r="37" ht="22.75" customHeight="1">
      <x:c r="A37" s="4"/>
      <x:c r="B37" s="5"/>
      <x:c r="C37" s="454" t="s">
        <x:v>754</x:v>
      </x:c>
      <x:c r="D37" s="453" t="s">
        <x:v>755</x:v>
      </x:c>
      <x:c r="E37" s="453" t="s">
        <x:v>755</x:v>
      </x:c>
      <x:c r="F37" s="453" t="s">
        <x:v>756</x:v>
      </x:c>
      <x:c r="G37" s="579"/>
      <x:c r="H37" s="579"/>
      <x:c r="I37" s="579"/>
      <x:c r="J37" s="579"/>
      <x:c r="K37" s="579"/>
      <x:c r="L37" s="579"/>
      <x:c r="M37" s="579"/>
      <x:c r="N37" s="579"/>
    </x:row>
    <x:row r="38" ht="22.75" customHeight="1">
      <x:c r="A38" s="4"/>
      <x:c r="B38" s="5"/>
      <x:c r="C38" s="451" t="s">
        <x:v>757</x:v>
      </x:c>
      <x:c r="D38" s="794" t="n">
        <x:f>-SUM(D26:D30)/$D$20</x:f>
        <x:v>2.1347500152207</x:v>
      </x:c>
      <x:c r="E38" s="794" t="n">
        <x:f>-SUM(E26:E30)/$D$20</x:f>
        <x:v>1.3832279452054794</x:v>
      </x:c>
      <x:c r="F38" s="450"/>
      <x:c r="G38" s="579"/>
      <x:c r="H38" s="579"/>
      <x:c r="I38" s="579"/>
      <x:c r="J38" s="579"/>
      <x:c r="K38" s="579"/>
      <x:c r="L38" s="579"/>
      <x:c r="M38" s="579"/>
      <x:c r="N38" s="579"/>
    </x:row>
    <x:row r="39" ht="22.75" customHeight="1">
      <x:c r="A39" s="4"/>
      <x:c r="B39" s="5"/>
      <x:c r="C39" s="454" t="s">
        <x:v>758</x:v>
      </x:c>
      <x:c r="D39" s="795" t="n">
        <x:f>(-SUM(D26:D30)-D32)/$D$20</x:f>
        <x:v>3.847078782343988</x:v>
      </x:c>
      <x:c r="E39" s="795" t="n">
        <x:f>(-SUM(E26:E30)-E32)/$D$20</x:f>
        <x:v>3.0955567123287673</x:v>
      </x:c>
      <x:c r="F39" s="453"/>
      <x:c r="G39" s="579"/>
      <x:c r="H39" s="579"/>
      <x:c r="I39" s="579"/>
      <x:c r="J39" s="579"/>
      <x:c r="K39" s="579"/>
      <x:c r="L39" s="579"/>
      <x:c r="M39" s="579"/>
      <x:c r="N39" s="579"/>
    </x:row>
    <x:row r="40" ht="22.75" customHeight="1">
      <x:c r="A40" s="4"/>
      <x:c r="B40" s="5"/>
      <x:c r="C40" s="451" t="s">
        <x:v>759</x:v>
      </x:c>
      <x:c r="D40" s="731" t="n">
        <x:f>0</x:f>
        <x:v>0</x:v>
      </x:c>
      <x:c r="E40" s="449" t="n">
        <x:f>Development!D31</x:f>
        <x:v>207728600</x:v>
      </x:c>
      <x:c r="F40" s="450"/>
      <x:c r="G40" s="579"/>
      <x:c r="H40" s="579"/>
      <x:c r="I40" s="579"/>
      <x:c r="J40" s="579"/>
      <x:c r="K40" s="579"/>
      <x:c r="L40" s="579"/>
      <x:c r="M40" s="579"/>
      <x:c r="N40" s="579"/>
    </x:row>
    <x:row r="41" ht="22.75" customHeight="1">
      <x:c r="A41" s="4"/>
      <x:c r="B41" s="5"/>
      <x:c r="C41" s="454" t="s">
        <x:v>760</x:v>
      </x:c>
      <x:c r="D41" s="732" t="n">
        <x:f>SUM($D$12:$D$13)</x:f>
        <x:v>235000000</x:v>
      </x:c>
      <x:c r="E41" s="732" t="n">
        <x:f>SUM($D$12:$D$13)</x:f>
        <x:v>235000000</x:v>
      </x:c>
      <x:c r="F41" s="453"/>
      <x:c r="G41" s="579"/>
      <x:c r="H41" s="579"/>
      <x:c r="I41" s="579"/>
      <x:c r="J41" s="579"/>
      <x:c r="K41" s="579"/>
      <x:c r="L41" s="579"/>
      <x:c r="M41" s="579"/>
      <x:c r="N41" s="579"/>
    </x:row>
    <x:row r="42" ht="22.75" customHeight="1">
      <x:c r="A42" s="4"/>
      <x:c r="B42" s="5"/>
      <x:c r="C42" s="451" t="s">
        <x:v>761</x:v>
      </x:c>
      <x:c r="D42" s="731" t="n">
        <x:f>SUM(D40:D41)</x:f>
        <x:v>235000000</x:v>
      </x:c>
      <x:c r="E42" s="731" t="n">
        <x:f>SUM(E40:E41)</x:f>
        <x:v>442728600</x:v>
      </x:c>
      <x:c r="F42" s="450"/>
      <x:c r="G42" s="579"/>
      <x:c r="H42" s="579"/>
      <x:c r="I42" s="579"/>
      <x:c r="J42" s="579"/>
      <x:c r="K42" s="579"/>
      <x:c r="L42" s="579"/>
      <x:c r="M42" s="579"/>
      <x:c r="N42" s="579"/>
    </x:row>
    <x:row r="43" ht="9" customHeight="1">
      <x:c r="A43" s="4"/>
      <x:c r="B43" s="5"/>
      <x:c r="C43" s="454"/>
      <x:c r="D43" s="453"/>
      <x:c r="E43" s="453"/>
      <x:c r="F43" s="453"/>
      <x:c r="G43" s="579"/>
      <x:c r="H43" s="579"/>
      <x:c r="I43" s="579"/>
      <x:c r="J43" s="579"/>
      <x:c r="K43" s="579"/>
      <x:c r="L43" s="579"/>
      <x:c r="M43" s="579"/>
      <x:c r="N43" s="579"/>
    </x:row>
    <x:row r="44" ht="9" customHeight="1">
      <x:c r="A44" s="4"/>
      <x:c r="B44" s="5"/>
      <x:c r="C44" s="454"/>
      <x:c r="D44" s="453"/>
      <x:c r="E44" s="453"/>
      <x:c r="F44" s="453"/>
      <x:c r="G44" s="579"/>
      <x:c r="H44" s="579"/>
      <x:c r="I44" s="579"/>
      <x:c r="J44" s="579"/>
      <x:c r="K44" s="579"/>
      <x:c r="L44" s="579"/>
      <x:c r="M44" s="579"/>
      <x:c r="N44" s="579"/>
    </x:row>
    <x:row r="45" ht="35.599998474121094" customHeight="1">
      <x:c r="A45" s="4"/>
      <x:c r="B45" s="5"/>
      <x:c r="C45" s="644" t="s">
        <x:v>762</x:v>
      </x:c>
      <x:c r="D45" s="69" t="n">
        <x:f>E31-SUM(D31,Landlord!D21)</x:f>
        <x:v>0</x:v>
      </x:c>
      <x:c r="E45" s="645"/>
      <x:c r="F45" s="645" t="s">
        <x:v>763</x:v>
      </x:c>
      <x:c r="G45" s="579"/>
      <x:c r="H45" s="579"/>
      <x:c r="I45" s="579"/>
      <x:c r="J45" s="579"/>
      <x:c r="K45" s="579"/>
      <x:c r="L45" s="579"/>
      <x:c r="M45" s="579"/>
      <x:c r="N45" s="579"/>
    </x:row>
    <x:row r="46" ht="9" customHeight="1">
      <x:c r="A46" s="4"/>
      <x:c r="B46" s="5"/>
      <x:c r="C46" s="454"/>
      <x:c r="D46" s="453"/>
      <x:c r="E46" s="453"/>
      <x:c r="F46" s="453"/>
      <x:c r="G46" s="579"/>
      <x:c r="H46" s="579"/>
      <x:c r="I46" s="579"/>
      <x:c r="J46" s="579"/>
      <x:c r="K46" s="579"/>
      <x:c r="L46" s="579"/>
      <x:c r="M46" s="579"/>
      <x:c r="N46" s="579"/>
    </x:row>
    <x:row r="47" ht="9" customHeight="1">
      <x:c r="A47" s="4"/>
      <x:c r="B47" s="5"/>
      <x:c r="C47" s="454"/>
      <x:c r="D47" s="453"/>
      <x:c r="E47" s="453"/>
      <x:c r="F47" s="453"/>
      <x:c r="G47" s="579"/>
      <x:c r="H47" s="579"/>
      <x:c r="I47" s="579"/>
      <x:c r="J47" s="579"/>
      <x:c r="K47" s="579"/>
      <x:c r="L47" s="579"/>
      <x:c r="M47" s="579"/>
      <x:c r="N47" s="579"/>
    </x:row>
    <x:row r="48" ht="34.29999923706055" customHeight="1">
      <x:c r="A48" s="4"/>
      <x:c r="B48" s="5"/>
      <x:c r="C48" s="621" t="s">
        <x:v>764</x:v>
      </x:c>
      <x:c r="D48" s="453"/>
      <x:c r="E48" s="453"/>
      <x:c r="F48" s="453"/>
      <x:c r="G48" s="579"/>
      <x:c r="H48" s="579"/>
      <x:c r="I48" s="579"/>
      <x:c r="J48" s="579"/>
      <x:c r="K48" s="579"/>
      <x:c r="L48" s="579"/>
      <x:c r="M48" s="579"/>
      <x:c r="N48" s="579"/>
    </x:row>
    <x:row r="49" ht="9" customHeight="1">
      <x:c r="A49" s="4"/>
      <x:c r="B49" s="5"/>
      <x:c r="C49" s="454"/>
      <x:c r="D49" s="453"/>
      <x:c r="E49" s="453"/>
      <x:c r="F49" s="453"/>
      <x:c r="G49" s="579"/>
      <x:c r="H49" s="579"/>
      <x:c r="I49" s="579"/>
      <x:c r="J49" s="579"/>
      <x:c r="K49" s="579"/>
      <x:c r="L49" s="579"/>
      <x:c r="M49" s="579"/>
      <x:c r="N49" s="579"/>
    </x:row>
    <x:row r="50" ht="34.29999923706055" customHeight="1">
      <x:c r="A50" s="4"/>
      <x:c r="B50" s="5"/>
      <x:c r="C50" s="621" t="s">
        <x:v>765</x:v>
      </x:c>
      <x:c r="D50" s="453"/>
      <x:c r="E50" s="453"/>
      <x:c r="F50" s="453"/>
      <x:c r="G50" s="579"/>
      <x:c r="H50" s="579"/>
      <x:c r="I50" s="579"/>
      <x:c r="J50" s="579"/>
      <x:c r="K50" s="579"/>
      <x:c r="L50" s="579"/>
      <x:c r="M50" s="579"/>
      <x:c r="N50" s="579"/>
    </x:row>
    <x:row r="51" ht="9" customHeight="1">
      <x:c r="A51" s="4"/>
      <x:c r="B51" s="5"/>
      <x:c r="C51" s="454"/>
      <x:c r="D51" s="453"/>
      <x:c r="E51" s="453"/>
      <x:c r="F51" s="453"/>
      <x:c r="G51" s="579"/>
      <x:c r="H51" s="579"/>
      <x:c r="I51" s="579"/>
      <x:c r="J51" s="579"/>
      <x:c r="K51" s="579"/>
      <x:c r="L51" s="579"/>
      <x:c r="M51" s="579"/>
      <x:c r="N51" s="579"/>
    </x:row>
    <x:row r="52" ht="9" customHeight="1">
      <x:c r="A52" s="4"/>
      <x:c r="B52" s="5"/>
      <x:c r="C52" s="454"/>
      <x:c r="D52" s="453"/>
      <x:c r="E52" s="453"/>
      <x:c r="F52" s="453"/>
      <x:c r="G52" s="579"/>
      <x:c r="H52" s="579"/>
      <x:c r="I52" s="579"/>
      <x:c r="J52" s="579"/>
      <x:c r="K52" s="579"/>
      <x:c r="L52" s="579"/>
      <x:c r="M52" s="579"/>
      <x:c r="N52" s="579"/>
    </x:row>
    <x:row r="53" ht="9" customHeight="1">
      <x:c r="A53" s="4"/>
      <x:c r="B53" s="5"/>
      <x:c r="C53" s="454"/>
      <x:c r="D53" s="453"/>
      <x:c r="E53" s="453"/>
      <x:c r="F53" s="453"/>
      <x:c r="G53" s="579"/>
      <x:c r="H53" s="579"/>
      <x:c r="I53" s="579"/>
      <x:c r="J53" s="579"/>
      <x:c r="K53" s="579"/>
      <x:c r="L53" s="579"/>
      <x:c r="M53" s="579"/>
      <x:c r="N53" s="579"/>
    </x:row>
    <x:row r="54" ht="9" customHeight="1">
      <x:c r="A54" s="4"/>
      <x:c r="B54" s="5"/>
      <x:c r="C54" s="454"/>
      <x:c r="D54" s="453"/>
      <x:c r="E54" s="453"/>
      <x:c r="F54" s="453"/>
      <x:c r="G54" s="579"/>
      <x:c r="H54" s="579"/>
      <x:c r="I54" s="579"/>
      <x:c r="J54" s="579"/>
      <x:c r="K54" s="579"/>
      <x:c r="L54" s="579"/>
      <x:c r="M54" s="579"/>
      <x:c r="N54" s="579"/>
    </x:row>
    <x:row r="55" ht="26.049999237060547" customHeight="1">
      <x:c r="A55" s="4"/>
      <x:c r="B55" s="5"/>
      <x:c r="C55" s="641" t="s">
        <x:v>766</x:v>
      </x:c>
      <x:c r="D55" s="642"/>
      <x:c r="E55" s="642"/>
      <x:c r="F55" s="642"/>
      <x:c r="G55" s="579"/>
      <x:c r="H55" s="579"/>
      <x:c r="I55" s="579"/>
      <x:c r="J55" s="579"/>
      <x:c r="K55" s="579"/>
      <x:c r="L55" s="579"/>
      <x:c r="M55" s="579"/>
      <x:c r="N55" s="579"/>
    </x:row>
    <x:row r="56" ht="22.200000762939453" customHeight="1">
      <x:c r="A56" s="4"/>
      <x:c r="B56" s="5"/>
      <x:c r="C56" s="621" t="s">
        <x:v>767</x:v>
      </x:c>
      <x:c r="D56" s="453"/>
      <x:c r="E56" s="453"/>
      <x:c r="F56" s="453"/>
      <x:c r="G56" s="579"/>
      <x:c r="H56" s="579"/>
      <x:c r="I56" s="579"/>
      <x:c r="J56" s="579"/>
      <x:c r="K56" s="579"/>
      <x:c r="L56" s="579"/>
      <x:c r="M56" s="579"/>
      <x:c r="N56" s="579"/>
    </x:row>
    <x:row r="57" ht="22.200000762939453" customHeight="1">
      <x:c r="A57" s="4"/>
      <x:c r="B57" s="5"/>
      <x:c r="C57" s="621" t="s">
        <x:v>768</x:v>
      </x:c>
      <x:c r="D57" s="453"/>
      <x:c r="E57" s="453"/>
      <x:c r="F57" s="453"/>
      <x:c r="G57" s="579"/>
      <x:c r="H57" s="579"/>
      <x:c r="I57" s="579"/>
      <x:c r="J57" s="579"/>
      <x:c r="K57" s="579"/>
      <x:c r="L57" s="579"/>
      <x:c r="M57" s="579"/>
      <x:c r="N57" s="579"/>
    </x:row>
    <x:row r="58" ht="22.200000762939453" customHeight="1">
      <x:c r="A58" s="4"/>
      <x:c r="B58" s="5"/>
      <x:c r="C58" s="621" t="s">
        <x:v>769</x:v>
      </x:c>
      <x:c r="D58" s="453"/>
      <x:c r="E58" s="453"/>
      <x:c r="F58" s="453"/>
      <x:c r="G58" s="579"/>
      <x:c r="H58" s="579"/>
      <x:c r="I58" s="579"/>
      <x:c r="J58" s="579"/>
      <x:c r="K58" s="579"/>
      <x:c r="L58" s="579"/>
      <x:c r="M58" s="579"/>
      <x:c r="N58" s="579"/>
    </x:row>
    <x:row r="59" ht="22.200000762939453" customHeight="1">
      <x:c r="A59" s="7"/>
      <x:c r="B59" s="8"/>
      <x:c r="C59" s="621" t="s">
        <x:v>770</x:v>
      </x:c>
      <x:c r="D59" s="453"/>
      <x:c r="E59" s="453"/>
      <x:c r="F59" s="453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07  |  PROPERTY VERSUS GPU CLOUD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changes when the same owner also finances computing equipment?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Property rent and cloud sales are different businesses; internal rent cancels on consolidation.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Property development before financing</x:v>
      </x:c>
      <x:c r="Q211" s="1037" t="n">
        <x:f>D7</x:f>
        <x:v>194900000</x:v>
      </x:c>
      <x:c r="R211" s="599" t="str">
        <x:v>Integrated tab</x:v>
      </x:c>
      <x:c r="S211" s="599" t="str">
        <x:v>Land + commissioned facility</x:v>
      </x:c>
    </x:row>
    <x:row r="212" ht="17.110000610351562" hidden="0" customHeight="1">
      <x:c r="P212" s="509" t="str">
        <x:v>Property financing costs</x:v>
      </x:c>
      <x:c r="Q212" s="1036" t="n">
        <x:f>D8</x:f>
        <x:v>12828600.000000002</x:v>
      </x:c>
      <x:c r="R212" s="510" t="str">
        <x:v>Integrated tab</x:v>
      </x:c>
      <x:c r="S212" s="510" t="str">
        <x:v>Scenario carries developer financing assumptions</x:v>
      </x:c>
    </x:row>
    <x:row r="213" ht="17.110000610351562" hidden="0" customHeight="1">
      <x:c r="P213" s="597" t="str">
        <x:v>Total property capital uses</x:v>
      </x:c>
      <x:c r="Q213" s="1037" t="n">
        <x:f>D9</x:f>
        <x:v>207728600</x:v>
      </x:c>
      <x:c r="R213" s="599" t="str">
        <x:v>Integrated tab</x:v>
      </x:c>
      <x:c r="S213" s="599" t="str">
        <x:v>Not equivalent to equity invested</x:v>
      </x:c>
    </x:row>
    <x:row r="214" ht="30.219999313354492" hidden="0" customHeight="1">
      <x:c r="P214" s="509" t="str">
        <x:v>Installed GPU-server fleet</x:v>
      </x:c>
      <x:c r="Q214" s="1036" t="n">
        <x:f>D10</x:f>
        <x:v>200000000</x:v>
      </x:c>
      <x:c r="R214" s="510" t="str">
        <x:v>Integrated tab</x:v>
      </x:c>
      <x:c r="S214" s="510" t="str">
        <x:v>4,000 illustrative GPUs × $50,000 allocated installed server cost</x:v>
      </x:c>
    </x:row>
    <x:row r="215" ht="17.110000610351562" hidden="0" customHeight="1">
      <x:c r="P215" s="597" t="str">
        <x:v>Cluster networking and storage</x:v>
      </x:c>
      <x:c r="Q215" s="1037" t="n">
        <x:f>D11</x:f>
        <x:v>25000000</x:v>
      </x:c>
      <x:c r="R215" s="599" t="str">
        <x:v>Integrated tab</x:v>
      </x:c>
      <x:c r="S215" s="599" t="str">
        <x:v>Excludes building fiber pathways already in facility budget</x:v>
      </x:c>
    </x:row>
    <x:row r="216" ht="17.110000610351562" hidden="0" customHeight="1">
      <x:c r="P216" s="509" t="str">
        <x:v>Total IT equipment capital</x:v>
      </x:c>
      <x:c r="Q216" s="1036" t="n">
        <x:f>D12</x:f>
        <x:v>225000000</x:v>
      </x:c>
      <x:c r="R216" s="510" t="str">
        <x:v>Integrated tab</x:v>
      </x:c>
      <x:c r="S216" s="510" t="str">
        <x:v>Entire fleet must be capacity-checked by engineers</x:v>
      </x:c>
    </x:row>
    <x:row r="217" ht="17.110000610351562" hidden="0" customHeight="1">
      <x:c r="P217" s="597" t="str">
        <x:v>TOTAL INTEGRATED CAPITAL USES</x:v>
      </x:c>
      <x:c r="Q217" s="1037" t="n">
        <x:f>D14</x:f>
        <x:v>442728600</x:v>
      </x:c>
      <x:c r="R217" s="599" t="str">
        <x:v>Integrated tab</x:v>
      </x:c>
      <x:c r="S217" s="599" t="str">
        <x:v>Does not specify funding for IT equipment</x:v>
      </x:c>
    </x:row>
    <x:row r="218" ht="17.110000610351562" hidden="0" customHeight="1">
      <x:c r="P218" s="509" t="str">
        <x:v>Hours per year</x:v>
      </x:c>
      <x:c r="Q218" s="1109" t="n">
        <x:f>D18</x:f>
        <x:v>8760</x:v>
      </x:c>
      <x:c r="R218" s="510" t="str">
        <x:v>Integrated tab</x:v>
      </x:c>
      <x:c r="S218" s="510" t="str">
        <x:v>hours</x:v>
      </x:c>
    </x:row>
    <x:row r="219" ht="17.110000610351562" hidden="0" customHeight="1">
      <x:c r="P219" s="597" t="str">
        <x:v>Annual revenue-producing GPU-hours</x:v>
      </x:c>
      <x:c r="Q219" s="1075" t="n">
        <x:f>D20</x:f>
        <x:v>26280000</x:v>
      </x:c>
      <x:c r="R219" s="599" t="str">
        <x:v>Integrated tab</x:v>
      </x:c>
      <x:c r="S219" s="599" t="str">
        <x:v>GPU-hours</x:v>
      </x:c>
    </x:row>
    <x:row r="220" ht="17.110000610351562" hidden="0" customHeight="1">
      <x:c r="P220" s="509" t="str">
        <x:v>External compute revenue</x:v>
      </x:c>
      <x:c r="Q220" s="1036" t="n">
        <x:f>D25</x:f>
        <x:v>105120000</x:v>
      </x:c>
      <x:c r="R220" s="510" t="str">
        <x:v>Integrated tab</x:v>
      </x:c>
      <x:c r="S220" s="510" t="str"/>
    </x:row>
    <x:row r="221" ht="17.110000610351562" hidden="0" customHeight="1">
      <x:c r="P221" s="597" t="str">
        <x:v>Electricity</x:v>
      </x:c>
      <x:c r="Q221" s="1037" t="n">
        <x:f>D27</x:f>
        <x:v>-16101230.4</x:v>
      </x:c>
      <x:c r="R221" s="599" t="str">
        <x:v>Integrated tab</x:v>
      </x:c>
      <x:c r="S221" s="599" t="str"/>
    </x:row>
    <x:row r="222" ht="17.110000610351562" hidden="0" customHeight="1">
      <x:c r="P222" s="509" t="str">
        <x:v>Cloud staff / software / overhead</x:v>
      </x:c>
      <x:c r="Q222" s="1036" t="n">
        <x:f>D29</x:f>
        <x:v>-10000000</x:v>
      </x:c>
      <x:c r="R222" s="510" t="str">
        <x:v>Integrated tab</x:v>
      </x:c>
      <x:c r="S222" s="510" t="str"/>
    </x:row>
    <x:row r="223" ht="30.219999313354492" hidden="0" customHeight="1">
      <x:c r="P223" s="597" t="str">
        <x:v>CASH EBITDA BEFORE FINANCING</x:v>
      </x:c>
      <x:c r="Q223" s="1037" t="n">
        <x:f>D31</x:f>
        <x:v>49018769.6</x:v>
      </x:c>
      <x:c r="R223" s="599" t="str">
        <x:v>Integrated tab</x:v>
      </x:c>
      <x:c r="S223" s="599" t="str">
        <x:v>EBITDA is not property NOI, net income or cash available to shareholders.</x:v>
      </x:c>
    </x:row>
    <x:row r="224" ht="30.219999313354492" hidden="0" customHeight="1">
      <x:c r="P224" s="509" t="str">
        <x:v>After IT renewal allowance</x:v>
      </x:c>
      <x:c r="Q224" s="1036" t="n">
        <x:f>D33</x:f>
        <x:v>4018769.6000000015</x:v>
      </x:c>
      <x:c r="R224" s="510" t="str">
        <x:v>Integrated tab</x:v>
      </x:c>
      <x:c r="S224" s="510" t="str">
        <x:v>Not EBIT: property depreciation and other accounting items have not been deducted.</x:v>
      </x:c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16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55:F55"/>
    <x:mergeCell ref="C56:F56"/>
    <x:mergeCell ref="C57:F57"/>
    <x:mergeCell ref="C58:F58"/>
    <x:mergeCell ref="C59:F59"/>
    <x:mergeCell ref="C3:F3"/>
    <x:mergeCell ref="C4:F4"/>
    <x:mergeCell ref="C5:F5"/>
    <x:mergeCell ref="C48:F48"/>
    <x:mergeCell ref="C50:F50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7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771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772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773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774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775</x:v>
      </x:c>
      <x:c r="D12" s="913" t="n">
        <x:f>Integrated!D9</x:f>
        <x:v>207728600</x:v>
      </x:c>
      <x:c r="E12" s="450" t="str">
        <x:v>Integrated tab</x:v>
      </x:c>
      <x:c r="F12" s="450" t="s">
        <x:v>776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777</x:v>
      </x:c>
      <x:c r="D13" s="901" t="n">
        <x:f>Integrated!D10</x:f>
        <x:v>200000000</x:v>
      </x:c>
      <x:c r="E13" s="453" t="str">
        <x:v>Integrated tab</x:v>
      </x:c>
      <x:c r="F13" s="453" t="s">
        <x:v>778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779</x:v>
      </x:c>
      <x:c r="D14" s="913" t="n">
        <x:f>Integrated!D11</x:f>
        <x:v>25000000</x:v>
      </x:c>
      <x:c r="E14" s="450" t="str">
        <x:v>Integrated tab</x:v>
      </x:c>
      <x:c r="F14" s="450" t="s">
        <x:v>780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781</x:v>
      </x:c>
      <x:c r="D15" s="901" t="n">
        <x:f>Integrated!D13</x:f>
        <x:v>10000000</x:v>
      </x:c>
      <x:c r="E15" s="453" t="str">
        <x:v>Integrated tab</x:v>
      </x:c>
      <x:c r="F15" s="453" t="s">
        <x:v>782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783</x:v>
      </x:c>
      <x:c r="D16" s="913" t="n">
        <x:f>Integrated!D14</x:f>
        <x:v>442728600</x:v>
      </x:c>
      <x:c r="E16" s="450" t="str">
        <x:v>Integrated tab</x:v>
      </x:c>
      <x:c r="F16" s="450" t="s">
        <x:v>784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5" customHeight="1">
      <x:c r="A17" s="4"/>
      <x:c r="B17" s="5"/>
      <x:c r="C17" s="641" t="s">
        <x:v>785</x:v>
      </x:c>
      <x:c r="D17" s="977"/>
      <x:c r="E17" s="642"/>
      <x:c r="F17" s="642"/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786</x:v>
      </x:c>
      <x:c r="D18" s="887" t="n">
        <x:f>Integrated!D17</x:f>
        <x:v>4000</x:v>
      </x:c>
      <x:c r="E18" s="450" t="str">
        <x:v>Integrated tab</x:v>
      </x:c>
      <x:c r="F18" s="450" t="s">
        <x:v>787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788</x:v>
      </x:c>
      <x:c r="D19" s="468" t="n">
        <x:f>Integrated!D19</x:f>
        <x:v>0.75</x:v>
      </x:c>
      <x:c r="E19" s="453" t="str">
        <x:v>Integrated tab</x:v>
      </x:c>
      <x:c r="F19" s="453" t="s">
        <x:v>789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790</x:v>
      </x:c>
      <x:c r="D20" s="887" t="n">
        <x:f>Integrated!D20</x:f>
        <x:v>26280000</x:v>
      </x:c>
      <x:c r="E20" s="450" t="str">
        <x:v>Integrated tab</x:v>
      </x:c>
      <x:c r="F20" s="450" t="s">
        <x:v>791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792</x:v>
      </x:c>
      <x:c r="D21" s="1019" t="n">
        <x:f>Integrated!D21</x:f>
        <x:v>4</x:v>
      </x:c>
      <x:c r="E21" s="453" t="str">
        <x:v>Integrated tab</x:v>
      </x:c>
      <x:c r="F21" s="453" t="s">
        <x:v>793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794</x:v>
      </x:c>
      <x:c r="D22" s="913" t="n">
        <x:f>Integrated!D22</x:f>
        <x:v>105120000</x:v>
      </x:c>
      <x:c r="E22" s="450" t="str">
        <x:v>Integrated tab</x:v>
      </x:c>
      <x:c r="F22" s="450" t="s">
        <x:v>795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5" customHeight="1">
      <x:c r="A23" s="4"/>
      <x:c r="B23" s="5"/>
      <x:c r="C23" s="641" t="s">
        <x:v>796</x:v>
      </x:c>
      <x:c r="D23" s="977"/>
      <x:c r="E23" s="642"/>
      <x:c r="F23" s="642"/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797</x:v>
      </x:c>
      <x:c r="D24" s="913" t="n">
        <x:f>Integrated!D31</x:f>
        <x:v>49018769.6</x:v>
      </x:c>
      <x:c r="E24" s="450" t="str">
        <x:v>Integrated tab</x:v>
      </x:c>
      <x:c r="F24" s="450" t="s">
        <x:v>798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799</x:v>
      </x:c>
      <x:c r="D25" s="901" t="n">
        <x:f>Integrated!E31</x:f>
        <x:v>68768769.6</x:v>
      </x:c>
      <x:c r="E25" s="453" t="str">
        <x:v>Integrated tab</x:v>
      </x:c>
      <x:c r="F25" s="453" t="s">
        <x:v>800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801</x:v>
      </x:c>
      <x:c r="D26" s="913" t="n">
        <x:f>Integrated!E32</x:f>
        <x:v>-45000000</x:v>
      </x:c>
      <x:c r="E26" s="450" t="str">
        <x:v>Integrated tab</x:v>
      </x:c>
      <x:c r="F26" s="450" t="s">
        <x:v>802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803</x:v>
      </x:c>
      <x:c r="D27" s="901" t="n">
        <x:f>Integrated!E33</x:f>
        <x:v>23768769.599999994</x:v>
      </x:c>
      <x:c r="E27" s="453" t="str">
        <x:v>Integrated tab</x:v>
      </x:c>
      <x:c r="F27" s="453" t="s">
        <x:v>804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805</x:v>
      </x:c>
      <x:c r="D28" s="913" t="n">
        <x:f>Integrated!E36</x:f>
        <x:v>14582969.599999994</x:v>
      </x:c>
      <x:c r="E28" s="450" t="str">
        <x:v>Integrated tab</x:v>
      </x:c>
      <x:c r="F28" s="450" t="s">
        <x:v>806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807</x:v>
      </x:c>
      <x:c r="D29" s="1019" t="n">
        <x:f>Integrated!E39</x:f>
        <x:v>3.0955567123287673</x:v>
      </x:c>
      <x:c r="E29" s="453" t="str">
        <x:v>Integrated tab</x:v>
      </x:c>
      <x:c r="F29" s="453" t="s">
        <x:v>808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">
        <x:v>809</x:v>
      </x:c>
      <x:c r="D30" s="1020" t="n">
        <x:f>Integrated!D39</x:f>
        <x:v>3.847078782343988</x:v>
      </x:c>
      <x:c r="E30" s="450" t="str">
        <x:v>Integrated tab</x:v>
      </x:c>
      <x:c r="F30" s="450" t="s">
        <x:v>810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9" customHeight="1">
      <x:c r="A31" s="4"/>
      <x:c r="B31" s="5"/>
      <x:c r="C31" s="454"/>
      <x:c r="D31" s="979"/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 ht="22.200000762939453" customHeight="1">
      <x:c r="A32" s="7"/>
      <x:c r="B32" s="8"/>
      <x:c r="C32" s="621" t="s">
        <x:v>233</x:v>
      </x:c>
      <x:c r="D32" s="979"/>
      <x:c r="E32" s="453"/>
      <x:c r="F32" s="453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07  |  PROPERTY VERSUS GPU CLOUD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changes when the same owner also finances computing equipment?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Property rent and cloud sales are different businesses; internal rent cancels on consolidation.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LANDLORD VS. VERTICALLY INTEGRATED CLOUD</x:v>
      </x:c>
      <x:c r="Q211" s="1047"/>
      <x:c r="R211" s="685" t="str"/>
      <x:c r="S211" s="685" t="str"/>
    </x:row>
    <x:row r="212" ht="17.110000610351562" hidden="0" customHeight="1">
      <x:c r="P212" s="509" t="str">
        <x:v>Property development + financing</x:v>
      </x:c>
      <x:c r="Q212" s="1036" t="n">
        <x:f>E07_Integrated!D12</x:f>
        <x:v>207728600</x:v>
      </x:c>
      <x:c r="R212" s="510" t="str">
        <x:v>Integrated tab</x:v>
      </x:c>
      <x:c r="S212" s="510" t="str">
        <x:v>Real estate and permanent facility systems.</x:v>
      </x:c>
    </x:row>
    <x:row r="213" ht="17.110000610351562" hidden="0" customHeight="1">
      <x:c r="P213" s="597" t="str">
        <x:v>GPU-server fleet</x:v>
      </x:c>
      <x:c r="Q213" s="1037" t="n">
        <x:f>E07_Integrated!D13</x:f>
        <x:v>200000000</x:v>
      </x:c>
      <x:c r="R213" s="599" t="str">
        <x:v>Integrated tab</x:v>
      </x:c>
      <x:c r="S213" s="599" t="str">
        <x:v>Optional cloud capital, NOT landlord property.</x:v>
      </x:c>
    </x:row>
    <x:row r="214" ht="17.110000610351562" hidden="0" customHeight="1">
      <x:c r="P214" s="509" t="str">
        <x:v>Network and storage</x:v>
      </x:c>
      <x:c r="Q214" s="1036" t="n">
        <x:f>E07_Integrated!D14</x:f>
        <x:v>25000000</x:v>
      </x:c>
      <x:c r="R214" s="510" t="str">
        <x:v>Integrated tab</x:v>
      </x:c>
      <x:c r="S214" s="510" t="str">
        <x:v>Separate from landlord fiber pathways.</x:v>
      </x:c>
    </x:row>
    <x:row r="215" ht="17.110000610351562" hidden="0" customHeight="1">
      <x:c r="P215" s="597" t="str">
        <x:v>Working capital</x:v>
      </x:c>
      <x:c r="Q215" s="1037" t="n">
        <x:f>E07_Integrated!D15</x:f>
        <x:v>10000000</x:v>
      </x:c>
      <x:c r="R215" s="599" t="str">
        <x:v>Integrated tab</x:v>
      </x:c>
      <x:c r="S215" s="599" t="str">
        <x:v>Cloud operating business.</x:v>
      </x:c>
    </x:row>
    <x:row r="216" ht="17.110000610351562" hidden="0" customHeight="1">
      <x:c r="P216" s="509" t="str">
        <x:v>TOTAL COMBINED INITIAL CAPITAL</x:v>
      </x:c>
      <x:c r="Q216" s="1036" t="n">
        <x:f>E07_Integrated!D16</x:f>
        <x:v>442728600</x:v>
      </x:c>
      <x:c r="R216" s="510" t="str">
        <x:v>Integrated tab</x:v>
      </x:c>
      <x:c r="S216" s="510" t="str">
        <x:v>Property + technology + working capital.</x:v>
      </x:c>
    </x:row>
    <x:row r="217" ht="16" hidden="0" customHeight="1">
      <x:c r="P217" s="684" t="str">
        <x:v>REVENUE FROM PAID COMPUTING</x:v>
      </x:c>
      <x:c r="Q217" s="1047"/>
      <x:c r="R217" s="685" t="str"/>
      <x:c r="S217" s="685" t="str"/>
    </x:row>
    <x:row r="218" ht="17.110000610351562" hidden="0" customHeight="1">
      <x:c r="P218" s="509" t="str">
        <x:v>Installed GPUs</x:v>
      </x:c>
      <x:c r="Q218" s="1109" t="n">
        <x:f>E07_Integrated!D18</x:f>
        <x:v>4000</x:v>
      </x:c>
      <x:c r="R218" s="510" t="str">
        <x:v>Integrated tab</x:v>
      </x:c>
      <x:c r="S218" s="510" t="str">
        <x:v>Illustrative hardware count.</x:v>
      </x:c>
    </x:row>
    <x:row r="219" ht="17.110000610351562" hidden="0" customHeight="1">
      <x:c r="P219" s="597" t="str">
        <x:v>Paid utilization</x:v>
      </x:c>
      <x:c r="Q219" s="672" t="n">
        <x:f>E07_Integrated!D19</x:f>
        <x:v>0.75</x:v>
      </x:c>
      <x:c r="R219" s="599" t="str">
        <x:v>Integrated tab</x:v>
      </x:c>
      <x:c r="S219" s="599" t="str">
        <x:v>NOT electrical loading.</x:v>
      </x:c>
    </x:row>
    <x:row r="220" ht="17.110000610351562" hidden="0" customHeight="1">
      <x:c r="P220" s="509" t="str">
        <x:v>Paid GPU hours / year</x:v>
      </x:c>
      <x:c r="Q220" s="1109" t="n">
        <x:f>E07_Integrated!D20</x:f>
        <x:v>26280000</x:v>
      </x:c>
      <x:c r="R220" s="510" t="str">
        <x:v>Integrated tab</x:v>
      </x:c>
      <x:c r="S220" s="510" t="str">
        <x:v>Equipment × annual hours × paid utilization.</x:v>
      </x:c>
    </x:row>
    <x:row r="221" ht="17.110000610351562" hidden="0" customHeight="1">
      <x:c r="P221" s="597" t="str">
        <x:v>Price per paid GPU-hour</x:v>
      </x:c>
      <x:c r="Q221" s="1111" t="n">
        <x:f>E07_Integrated!D21</x:f>
        <x:v>4</x:v>
      </x:c>
      <x:c r="R221" s="599" t="str">
        <x:v>Integrated tab</x:v>
      </x:c>
      <x:c r="S221" s="599" t="str">
        <x:v>No actual GMI quotation implied.</x:v>
      </x:c>
    </x:row>
    <x:row r="222" ht="17.110000610351562" hidden="0" customHeight="1">
      <x:c r="P222" s="509" t="str">
        <x:v>EXTERNAL COMPUTE REVENUE</x:v>
      </x:c>
      <x:c r="Q222" s="1036" t="n">
        <x:f>E07_Integrated!D22</x:f>
        <x:v>105120000</x:v>
      </x:c>
      <x:c r="R222" s="510" t="str">
        <x:v>Integrated tab</x:v>
      </x:c>
      <x:c r="S222" s="510" t="str">
        <x:v>Only money from customers.</x:v>
      </x:c>
    </x:row>
    <x:row r="223" ht="16" hidden="0" customHeight="1">
      <x:c r="P223" s="684" t="str">
        <x:v>OWNING PROPERTY VERSUS LEASING</x:v>
      </x:c>
      <x:c r="Q223" s="1047"/>
      <x:c r="R223" s="685" t="str"/>
      <x:c r="S223" s="685" t="str"/>
    </x:row>
    <x:row r="224" ht="17.110000610351562" hidden="0" customHeight="1">
      <x:c r="P224" s="509" t="str">
        <x:v>Compute EBITDA | tenant leasing</x:v>
      </x:c>
      <x:c r="Q224" s="1036" t="n">
        <x:f>E07_Integrated!D24</x:f>
        <x:v>49018769.6</x:v>
      </x:c>
      <x:c r="R224" s="510" t="str">
        <x:v>Integrated tab</x:v>
      </x:c>
      <x:c r="S224" s="510" t="str">
        <x:v>External revenue after tenant cash operating costs.</x:v>
      </x:c>
    </x:row>
    <x:row r="225" ht="17.110000610351562" hidden="0" customHeight="1">
      <x:c r="P225" s="597" t="str">
        <x:v>Combined EBITDA | integrated owner</x:v>
      </x:c>
      <x:c r="Q225" s="1037" t="n">
        <x:f>E07_Integrated!D25</x:f>
        <x:v>68768769.6</x:v>
      </x:c>
      <x:c r="R225" s="599" t="str">
        <x:v>Integrated tab</x:v>
      </x:c>
      <x:c r="S225" s="599" t="str">
        <x:v>Eliminates internal rent at group level.</x:v>
      </x:c>
    </x:row>
    <x:row r="226" ht="17.110000610351562" hidden="0" customHeight="1">
      <x:c r="P226" s="509" t="str">
        <x:v>IT renewal allowance</x:v>
      </x:c>
      <x:c r="Q226" s="1036" t="n">
        <x:f>E07_Integrated!D26</x:f>
        <x:v>-45000000</x:v>
      </x:c>
      <x:c r="R226" s="510" t="str">
        <x:v>Integrated tab</x:v>
      </x:c>
      <x:c r="S226" s="510" t="str">
        <x:v>Simplified renewal-cycle assumption.</x:v>
      </x:c>
    </x:row>
    <x:row r="227" ht="17.110000610351562" hidden="0" customHeight="1">
      <x:c r="P227" s="597" t="str">
        <x:v>Integrated after-renewal allowance</x:v>
      </x:c>
      <x:c r="Q227" s="1037" t="n">
        <x:f>E07_Integrated!D27</x:f>
        <x:v>23768769.599999994</x:v>
      </x:c>
      <x:c r="R227" s="599" t="str">
        <x:v>Integrated tab</x:v>
      </x:c>
      <x:c r="S227" s="599" t="str">
        <x:v>Still before certain financing and taxes.</x:v>
      </x:c>
    </x:row>
    <x:row r="228" ht="17.110000610351562" hidden="0" customHeight="1">
      <x:c r="P228" s="509" t="str">
        <x:v>Integrated cash after real-estate debt</x:v>
      </x:c>
      <x:c r="Q228" s="1036" t="n">
        <x:f>E07_Integrated!D28</x:f>
        <x:v>14582969.599999994</x:v>
      </x:c>
      <x:c r="R228" s="510" t="str">
        <x:v>Integrated tab</x:v>
      </x:c>
      <x:c r="S228" s="510" t="str">
        <x:v>Not complete free cash flow.</x:v>
      </x:c>
    </x:row>
    <x:row r="229" ht="17.110000610351562" hidden="0" customHeight="1">
      <x:c r="P229" s="597" t="str">
        <x:v>Integrated operating break-even per GPU-hour</x:v>
      </x:c>
      <x:c r="Q229" s="1111" t="n">
        <x:f>E07_Integrated!D29</x:f>
        <x:v>3.0955567123287673</x:v>
      </x:c>
      <x:c r="R229" s="599" t="str">
        <x:v>Integrated tab</x:v>
      </x:c>
      <x:c r="S229" s="599" t="str">
        <x:v>Includes modeled technology renewal.</x:v>
      </x:c>
    </x:row>
    <x:row r="230" ht="17.110000610351562" hidden="0" customHeight="1">
      <x:c r="P230" s="509" t="str">
        <x:v>Tenant break-even per GPU-hour</x:v>
      </x:c>
      <x:c r="Q230" s="1112" t="n">
        <x:f>E07_Integrated!D30</x:f>
        <x:v>3.847078782343988</x:v>
      </x:c>
      <x:c r="R230" s="510" t="str">
        <x:v>Integrated tab</x:v>
      </x:c>
      <x:c r="S230" s="510" t="str">
        <x:v>Case-specific contractual allocation.</x:v>
      </x:c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17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3:F23"/>
    <x:mergeCell ref="C32:F32"/>
    <x:mergeCell ref="C3:D3"/>
    <x:mergeCell ref="C4:F4"/>
    <x:mergeCell ref="C5:F5"/>
    <x:mergeCell ref="C7:F7"/>
    <x:mergeCell ref="C11:F11"/>
    <x:mergeCell ref="C17:F17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17:S217"/>
    <x:mergeCell ref="P223:S223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8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28.765625" customWidth="1"/>
    <x:col min="4" max="8" width="21.4609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2"/>
      <x:c r="H1" s="3"/>
    </x:row>
    <x:row r="2" ht="12" customHeight="1">
      <x:c r="A2" s="4"/>
      <x:c r="B2" s="5"/>
      <x:c r="C2" s="5"/>
      <x:c r="D2" s="5"/>
      <x:c r="E2" s="5"/>
      <x:c r="F2" s="5"/>
      <x:c r="G2" s="5"/>
      <x:c r="H2" s="6"/>
    </x:row>
    <x:row r="3" ht="34" customHeight="1">
      <x:c r="A3" s="4"/>
      <x:c r="B3" s="5"/>
      <x:c r="C3" s="617" t="s">
        <x:v>811</x:v>
      </x:c>
      <x:c r="D3" s="618"/>
      <x:c r="E3" s="618"/>
      <x:c r="F3" s="618"/>
      <x:c r="G3" s="618"/>
      <x:c r="H3" s="618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812</x:v>
      </x:c>
      <x:c r="D4" s="569"/>
      <x:c r="E4" s="569"/>
      <x:c r="F4" s="569"/>
      <x:c r="G4" s="569"/>
      <x:c r="H4" s="569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813</x:v>
      </x:c>
      <x:c r="D5" s="633"/>
      <x:c r="E5" s="633"/>
      <x:c r="F5" s="633"/>
      <x:c r="G5" s="633"/>
      <x:c r="H5" s="633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814</x:v>
      </x:c>
      <x:c r="D6" s="623" t="s">
        <x:v>815</x:v>
      </x:c>
      <x:c r="E6" s="623" t="s">
        <x:v>816</x:v>
      </x:c>
      <x:c r="F6" s="623" t="str">
        <x:v>Development Yield</x:v>
      </x:c>
      <x:c r="G6" s="623" t="s">
        <x:v>817</x:v>
      </x:c>
      <x:c r="H6" s="623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937">
        <x:v>175</x:v>
      </x:c>
      <x:c r="D7" s="901" t="n">
        <x:f>C7*Inputs!$D$7*Inputs!$D$8*Inputs!$D$16*Inputs!$D$20</x:f>
        <x:v>21000000</x:v>
      </x:c>
      <x:c r="E7" s="901" t="n">
        <x:f>D7+SUM(Landlord!$D$14:$D$19)</x:f>
        <x:v>13750000</x:v>
      </x:c>
      <x:c r="F7" s="468" t="n">
        <x:f>E7/Development!$D$31</x:f>
        <x:v>0.06619213724061107</x:v>
      </x:c>
      <x:c r="G7" s="923" t="n">
        <x:f>(E7+Landlord!$D$22)/-Landlord!$D$24</x:f>
        <x:v>1.557575313347504</x:v>
      </x:c>
      <x:c r="H7" s="453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938">
        <x:v>200</x:v>
      </x:c>
      <x:c r="D8" s="913" t="n">
        <x:f>C8*Inputs!$D$7*Inputs!$D$8*Inputs!$D$16*Inputs!$D$20</x:f>
        <x:v>24000000</x:v>
      </x:c>
      <x:c r="E8" s="913" t="n">
        <x:f>D8+SUM(Landlord!$D$14:$D$19)</x:f>
        <x:v>16750000</x:v>
      </x:c>
      <x:c r="F8" s="472" t="n">
        <x:f>E8/Development!$D$31</x:f>
        <x:v>0.08063405809310803</x:v>
      </x:c>
      <x:c r="G8" s="925" t="n">
        <x:f>(E8+Landlord!$D$22)/-Landlord!$D$24</x:f>
        <x:v>1.9240636223704461</x:v>
      </x:c>
      <x:c r="H8" s="450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939">
        <x:v>225</x:v>
      </x:c>
      <x:c r="D9" s="899" t="n">
        <x:f>C9*Inputs!$D$7*Inputs!$D$8*Inputs!$D$16*Inputs!$D$20</x:f>
        <x:v>27000000</x:v>
      </x:c>
      <x:c r="E9" s="899" t="n">
        <x:f>D9+SUM(Landlord!$D$14:$D$19)</x:f>
        <x:v>19750000</x:v>
      </x:c>
      <x:c r="F9" s="919" t="n">
        <x:f>E9/Development!$D$31</x:f>
        <x:v>0.09507597894560499</x:v>
      </x:c>
      <x:c r="G9" s="917" t="n">
        <x:f>(E9+Landlord!$D$22)/-Landlord!$D$24</x:f>
        <x:v>2.2905519313933884</x:v>
      </x:c>
      <x:c r="H9" s="645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938">
        <x:v>250</x:v>
      </x:c>
      <x:c r="D10" s="913" t="n">
        <x:f>C10*Inputs!$D$7*Inputs!$D$8*Inputs!$D$16*Inputs!$D$20</x:f>
        <x:v>30000000</x:v>
      </x:c>
      <x:c r="E10" s="913" t="n">
        <x:f>D10+SUM(Landlord!$D$14:$D$19)</x:f>
        <x:v>22750000</x:v>
      </x:c>
      <x:c r="F10" s="472" t="n">
        <x:f>E10/Development!$D$31</x:f>
        <x:v>0.10951789979810195</x:v>
      </x:c>
      <x:c r="G10" s="925" t="n">
        <x:f>(E10+Landlord!$D$22)/-Landlord!$D$24</x:f>
        <x:v>2.6570402404163302</x:v>
      </x:c>
      <x:c r="H10" s="450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937">
        <x:v>275</x:v>
      </x:c>
      <x:c r="D11" s="901" t="n">
        <x:f>C11*Inputs!$D$7*Inputs!$D$8*Inputs!$D$16*Inputs!$D$20</x:f>
        <x:v>33000000</x:v>
      </x:c>
      <x:c r="E11" s="901" t="n">
        <x:f>D11+SUM(Landlord!$D$14:$D$19)</x:f>
        <x:v>25750000</x:v>
      </x:c>
      <x:c r="F11" s="468" t="n">
        <x:f>E11/Development!$D$31</x:f>
        <x:v>0.1239598206505989</x:v>
      </x:c>
      <x:c r="G11" s="923" t="n">
        <x:f>(E11+Landlord!$D$22)/-Landlord!$D$24</x:f>
        <x:v>3.0235285494392725</x:v>
      </x:c>
      <x:c r="H11" s="453"/>
      <x:c r="I11" s="579"/>
      <x:c r="J11" s="579"/>
      <x:c r="K11" s="579"/>
      <x:c r="L11" s="579"/>
      <x:c r="M11" s="579"/>
      <x:c r="N11" s="579"/>
    </x:row>
    <x:row r="12" ht="9" customHeight="1">
      <x:c r="A12" s="4"/>
      <x:c r="B12" s="5"/>
      <x:c r="C12" s="454"/>
      <x:c r="D12" s="453"/>
      <x:c r="E12" s="453"/>
      <x:c r="F12" s="453"/>
      <x:c r="G12" s="453"/>
      <x:c r="H12" s="453"/>
      <x:c r="I12" s="579"/>
      <x:c r="J12" s="579"/>
      <x:c r="K12" s="579"/>
      <x:c r="L12" s="579"/>
      <x:c r="M12" s="579"/>
      <x:c r="N12" s="579"/>
    </x:row>
    <x:row r="13" ht="9" customHeight="1">
      <x:c r="A13" s="4"/>
      <x:c r="B13" s="5"/>
      <x:c r="C13" s="454"/>
      <x:c r="D13" s="453"/>
      <x:c r="E13" s="453"/>
      <x:c r="F13" s="453"/>
      <x:c r="G13" s="453"/>
      <x:c r="H13" s="453"/>
      <x:c r="I13" s="579"/>
      <x:c r="J13" s="579"/>
      <x:c r="K13" s="579"/>
      <x:c r="L13" s="579"/>
      <x:c r="M13" s="579"/>
      <x:c r="N13" s="579"/>
    </x:row>
    <x:row r="14" ht="26.049999237060547" customHeight="1">
      <x:c r="A14" s="4"/>
      <x:c r="B14" s="5"/>
      <x:c r="C14" s="641" t="str">
        <x:v>TOTAL DEVELOPMENT COST / CAPACITY RENT</x:v>
      </x:c>
      <x:c r="D14" s="642"/>
      <x:c r="E14" s="642"/>
      <x:c r="F14" s="642"/>
      <x:c r="G14" s="642"/>
      <x:c r="H14" s="642"/>
      <x:c r="I14" s="579"/>
      <x:c r="J14" s="579"/>
      <x:c r="K14" s="579"/>
      <x:c r="L14" s="579"/>
      <x:c r="M14" s="579"/>
      <x:c r="N14" s="579"/>
    </x:row>
    <x:row r="15" ht="34" customHeight="1">
      <x:c r="A15" s="4"/>
      <x:c r="B15" s="5"/>
      <x:c r="C15" s="622" t="s">
        <x:v>818</x:v>
      </x:c>
      <x:c r="D15" s="943">
        <x:v>175</x:v>
      </x:c>
      <x:c r="E15" s="943">
        <x:v>200</x:v>
      </x:c>
      <x:c r="F15" s="943">
        <x:v>225</x:v>
      </x:c>
      <x:c r="G15" s="943">
        <x:v>250</x:v>
      </x:c>
      <x:c r="H15" s="943">
        <x:v>275</x:v>
      </x:c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945">
        <x:v>180000000</x:v>
      </x:c>
      <x:c r="D16" s="951" t="n">
        <x:f>(D$15*Inputs!$D$7*Inputs!$D$8*Inputs!$D$16*Inputs!$D$20+SUM(Landlord!$D$14:$D$19))/$C16</x:f>
        <x:v>0.0763888888888889</x:v>
      </x:c>
      <x:c r="E16" s="951" t="n">
        <x:f>(E$15*Inputs!$D$7*Inputs!$D$8*Inputs!$D$16*Inputs!$D$20+SUM(Landlord!$D$14:$D$19))/$C16</x:f>
        <x:v>0.09305555555555556</x:v>
      </x:c>
      <x:c r="F16" s="952" t="n">
        <x:f>(F$15*Inputs!$D$7*Inputs!$D$8*Inputs!$D$16*Inputs!$D$20+SUM(Landlord!$D$14:$D$19))/$C16</x:f>
        <x:v>0.10972222222222222</x:v>
      </x:c>
      <x:c r="G16" s="953" t="n">
        <x:f>(G$15*Inputs!$D$7*Inputs!$D$8*Inputs!$D$16*Inputs!$D$20+SUM(Landlord!$D$14:$D$19))/$C16</x:f>
        <x:v>0.12638888888888888</x:v>
      </x:c>
      <x:c r="H16" s="953" t="n">
        <x:f>(H$15*Inputs!$D$7*Inputs!$D$8*Inputs!$D$16*Inputs!$D$20+SUM(Landlord!$D$14:$D$19))/$C16</x:f>
        <x:v>0.14305555555555555</x:v>
      </x:c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946">
        <x:v>200000000</x:v>
      </x:c>
      <x:c r="D17" s="472" t="n">
        <x:f>(D$15*Inputs!$D$7*Inputs!$D$8*Inputs!$D$16*Inputs!$D$20+SUM(Landlord!$D$14:$D$19))/$C17</x:f>
        <x:v>0.06875</x:v>
      </x:c>
      <x:c r="E17" s="951" t="n">
        <x:f>(E$15*Inputs!$D$7*Inputs!$D$8*Inputs!$D$16*Inputs!$D$20+SUM(Landlord!$D$14:$D$19))/$C17</x:f>
        <x:v>0.08375</x:v>
      </x:c>
      <x:c r="F17" s="954" t="n">
        <x:f>(F$15*Inputs!$D$7*Inputs!$D$8*Inputs!$D$16*Inputs!$D$20+SUM(Landlord!$D$14:$D$19))/$C17</x:f>
        <x:v>0.09875</x:v>
      </x:c>
      <x:c r="G17" s="955" t="n">
        <x:f>(G$15*Inputs!$D$7*Inputs!$D$8*Inputs!$D$16*Inputs!$D$20+SUM(Landlord!$D$14:$D$19))/$C17</x:f>
        <x:v>0.11375</x:v>
      </x:c>
      <x:c r="H17" s="953" t="n">
        <x:f>(H$15*Inputs!$D$7*Inputs!$D$8*Inputs!$D$16*Inputs!$D$20+SUM(Landlord!$D$14:$D$19))/$C17</x:f>
        <x:v>0.12875</x:v>
      </x:c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947">
        <x:v>220000000</x:v>
      </x:c>
      <x:c r="D18" s="956" t="n">
        <x:f>(D$15*Inputs!$D$7*Inputs!$D$8*Inputs!$D$16*Inputs!$D$20+SUM(Landlord!$D$14:$D$19))/$C18</x:f>
        <x:v>0.0625</x:v>
      </x:c>
      <x:c r="E18" s="957" t="n">
        <x:f>(E$15*Inputs!$D$7*Inputs!$D$8*Inputs!$D$16*Inputs!$D$20+SUM(Landlord!$D$14:$D$19))/$C18</x:f>
        <x:v>0.07613636363636364</x:v>
      </x:c>
      <x:c r="F18" s="957" t="n">
        <x:f>(F$15*Inputs!$D$7*Inputs!$D$8*Inputs!$D$16*Inputs!$D$20+SUM(Landlord!$D$14:$D$19))/$C18</x:f>
        <x:v>0.08977272727272727</x:v>
      </x:c>
      <x:c r="G18" s="958" t="n">
        <x:f>(G$15*Inputs!$D$7*Inputs!$D$8*Inputs!$D$16*Inputs!$D$20+SUM(Landlord!$D$14:$D$19))/$C18</x:f>
        <x:v>0.10340909090909091</x:v>
      </x:c>
      <x:c r="H18" s="958" t="n">
        <x:f>(H$15*Inputs!$D$7*Inputs!$D$8*Inputs!$D$16*Inputs!$D$20+SUM(Landlord!$D$14:$D$19))/$C18</x:f>
        <x:v>0.11704545454545455</x:v>
      </x:c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946">
        <x:v>240000000</x:v>
      </x:c>
      <x:c r="D19" s="472" t="n">
        <x:f>(D$15*Inputs!$D$7*Inputs!$D$8*Inputs!$D$16*Inputs!$D$20+SUM(Landlord!$D$14:$D$19))/$C19</x:f>
        <x:v>0.057291666666666664</x:v>
      </x:c>
      <x:c r="E19" s="472" t="n">
        <x:f>(E$15*Inputs!$D$7*Inputs!$D$8*Inputs!$D$16*Inputs!$D$20+SUM(Landlord!$D$14:$D$19))/$C19</x:f>
        <x:v>0.06979166666666667</x:v>
      </x:c>
      <x:c r="F19" s="954" t="n">
        <x:f>(F$15*Inputs!$D$7*Inputs!$D$8*Inputs!$D$16*Inputs!$D$20+SUM(Landlord!$D$14:$D$19))/$C19</x:f>
        <x:v>0.08229166666666667</x:v>
      </x:c>
      <x:c r="G19" s="951" t="n">
        <x:f>(G$15*Inputs!$D$7*Inputs!$D$8*Inputs!$D$16*Inputs!$D$20+SUM(Landlord!$D$14:$D$19))/$C19</x:f>
        <x:v>0.09479166666666666</x:v>
      </x:c>
      <x:c r="H19" s="955" t="n">
        <x:f>(H$15*Inputs!$D$7*Inputs!$D$8*Inputs!$D$16*Inputs!$D$20+SUM(Landlord!$D$14:$D$19))/$C19</x:f>
        <x:v>0.10729166666666666</x:v>
      </x:c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945">
        <x:v>260000000</x:v>
      </x:c>
      <x:c r="D20" s="472" t="n">
        <x:f>(D$15*Inputs!$D$7*Inputs!$D$8*Inputs!$D$16*Inputs!$D$20+SUM(Landlord!$D$14:$D$19))/$C20</x:f>
        <x:v>0.052884615384615384</x:v>
      </x:c>
      <x:c r="E20" s="472" t="n">
        <x:f>(E$15*Inputs!$D$7*Inputs!$D$8*Inputs!$D$16*Inputs!$D$20+SUM(Landlord!$D$14:$D$19))/$C20</x:f>
        <x:v>0.06442307692307692</x:v>
      </x:c>
      <x:c r="F20" s="954" t="n">
        <x:f>(F$15*Inputs!$D$7*Inputs!$D$8*Inputs!$D$16*Inputs!$D$20+SUM(Landlord!$D$14:$D$19))/$C20</x:f>
        <x:v>0.07596153846153846</x:v>
      </x:c>
      <x:c r="G20" s="951" t="n">
        <x:f>(G$15*Inputs!$D$7*Inputs!$D$8*Inputs!$D$16*Inputs!$D$20+SUM(Landlord!$D$14:$D$19))/$C20</x:f>
        <x:v>0.0875</x:v>
      </x:c>
      <x:c r="H20" s="951" t="n">
        <x:f>(H$15*Inputs!$D$7*Inputs!$D$8*Inputs!$D$16*Inputs!$D$20+SUM(Landlord!$D$14:$D$19))/$C20</x:f>
        <x:v>0.09903846153846153</x:v>
      </x:c>
      <x:c r="I20" s="579"/>
      <x:c r="J20" s="579"/>
      <x:c r="K20" s="579"/>
      <x:c r="L20" s="579"/>
      <x:c r="M20" s="579"/>
      <x:c r="N20" s="579"/>
    </x:row>
    <x:row r="21" ht="9" customHeight="1">
      <x:c r="A21" s="4"/>
      <x:c r="B21" s="5"/>
      <x:c r="C21" s="454"/>
      <x:c r="D21" s="453"/>
      <x:c r="E21" s="453"/>
      <x:c r="F21" s="453"/>
      <x:c r="G21" s="453"/>
      <x:c r="H21" s="453"/>
      <x:c r="I21" s="579"/>
      <x:c r="J21" s="579"/>
      <x:c r="K21" s="579"/>
      <x:c r="L21" s="579"/>
      <x:c r="M21" s="579"/>
      <x:c r="N21" s="579"/>
    </x:row>
    <x:row r="22" ht="9" customHeight="1">
      <x:c r="A22" s="4"/>
      <x:c r="B22" s="5"/>
      <x:c r="C22" s="454"/>
      <x:c r="D22" s="453"/>
      <x:c r="E22" s="453"/>
      <x:c r="F22" s="453"/>
      <x:c r="G22" s="453"/>
      <x:c r="H22" s="453"/>
      <x:c r="I22" s="579"/>
      <x:c r="J22" s="579"/>
      <x:c r="K22" s="579"/>
      <x:c r="L22" s="579"/>
      <x:c r="M22" s="579"/>
      <x:c r="N22" s="579"/>
    </x:row>
    <x:row r="23" ht="26.049999237060547" customHeight="1">
      <x:c r="A23" s="4"/>
      <x:c r="B23" s="5"/>
      <x:c r="C23" s="641" t="s">
        <x:v>819</x:v>
      </x:c>
      <x:c r="D23" s="642"/>
      <x:c r="E23" s="642"/>
      <x:c r="F23" s="642"/>
      <x:c r="G23" s="642"/>
      <x:c r="H23" s="642"/>
      <x:c r="I23" s="579"/>
      <x:c r="J23" s="579"/>
      <x:c r="K23" s="579"/>
      <x:c r="L23" s="579"/>
      <x:c r="M23" s="579"/>
      <x:c r="N23" s="579"/>
    </x:row>
    <x:row r="24" ht="34" customHeight="1">
      <x:c r="A24" s="4"/>
      <x:c r="B24" s="5"/>
      <x:c r="C24" s="622" t="s">
        <x:v>820</x:v>
      </x:c>
      <x:c r="D24" s="623" t="s">
        <x:v>821</x:v>
      </x:c>
      <x:c r="E24" s="623" t="s">
        <x:v>822</x:v>
      </x:c>
      <x:c r="F24" s="623" t="s">
        <x:v>823</x:v>
      </x:c>
      <x:c r="G24" s="623" t="s">
        <x:v>824</x:v>
      </x:c>
      <x:c r="H24" s="623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927">
        <x:v>0</x:v>
      </x:c>
      <x:c r="D25" s="901" t="n">
        <x:f>Development!$D$27*Inputs!$D$32*C25/Inputs!$D$16</x:f>
        <x:v>0</x:v>
      </x:c>
      <x:c r="E25" s="897" t="n">
        <x:f>D25</x:f>
        <x:v>0</x:v>
      </x:c>
      <x:c r="F25" s="901" t="n">
        <x:f>Landlord!$D$9*C25/Inputs!$D$16</x:f>
        <x:v>0</x:v>
      </x:c>
      <x:c r="G25" s="452" t="n">
        <x:f>Development!$D$31+D25</x:f>
        <x:v>207728600</x:v>
      </x:c>
      <x:c r="H25" s="453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928">
        <x:v>6</x:v>
      </x:c>
      <x:c r="D26" s="913" t="n">
        <x:f>Development!$D$27*Inputs!$D$32*C26/Inputs!$D$16</x:f>
        <x:v>4677600</x:v>
      </x:c>
      <x:c r="E26" s="895" t="n">
        <x:f>D26</x:f>
        <x:v>4677600</x:v>
      </x:c>
      <x:c r="F26" s="913" t="n">
        <x:f>Landlord!$D$9*C26/Inputs!$D$16</x:f>
        <x:v>13500000</x:v>
      </x:c>
      <x:c r="G26" s="449" t="n">
        <x:f>Development!$D$31+D26</x:f>
        <x:v>212406200</x:v>
      </x:c>
      <x:c r="H26" s="450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967">
        <x:v>12</x:v>
      </x:c>
      <x:c r="D27" s="899" t="n">
        <x:f>Development!$D$27*Inputs!$D$32*C27/Inputs!$D$16</x:f>
        <x:v>9355200</x:v>
      </x:c>
      <x:c r="E27" s="899" t="n">
        <x:f>D27</x:f>
        <x:v>9355200</x:v>
      </x:c>
      <x:c r="F27" s="899" t="n">
        <x:f>Landlord!$D$9*C27/Inputs!$D$16</x:f>
        <x:v>27000000</x:v>
      </x:c>
      <x:c r="G27" s="32" t="n">
        <x:f>Development!$D$31+D27</x:f>
        <x:v>217083800</x:v>
      </x:c>
      <x:c r="H27" s="645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928">
        <x:v>24</x:v>
      </x:c>
      <x:c r="D28" s="913" t="n">
        <x:f>Development!$D$27*Inputs!$D$32*C28/Inputs!$D$16</x:f>
        <x:v>18710400</x:v>
      </x:c>
      <x:c r="E28" s="895" t="n">
        <x:f>D28</x:f>
        <x:v>18710400</x:v>
      </x:c>
      <x:c r="F28" s="913" t="n">
        <x:f>Landlord!$D$9*C28/Inputs!$D$16</x:f>
        <x:v>54000000</x:v>
      </x:c>
      <x:c r="G28" s="449" t="n">
        <x:f>Development!$D$31+D28</x:f>
        <x:v>226439000</x:v>
      </x:c>
      <x:c r="H28" s="450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453"/>
      <x:c r="E29" s="453"/>
      <x:c r="F29" s="453"/>
      <x:c r="G29" s="453"/>
      <x:c r="H29" s="453"/>
      <x:c r="I29" s="579"/>
      <x:c r="J29" s="579"/>
      <x:c r="K29" s="579"/>
      <x:c r="L29" s="579"/>
      <x:c r="M29" s="579"/>
      <x:c r="N29" s="579"/>
    </x:row>
    <x:row r="30" ht="34.29999923706055" customHeight="1">
      <x:c r="A30" s="4"/>
      <x:c r="B30" s="5"/>
      <x:c r="C30" s="621" t="s">
        <x:v>825</x:v>
      </x:c>
      <x:c r="D30" s="453"/>
      <x:c r="E30" s="453"/>
      <x:c r="F30" s="453"/>
      <x:c r="G30" s="453"/>
      <x:c r="H30" s="453"/>
      <x:c r="I30" s="579"/>
      <x:c r="J30" s="579"/>
      <x:c r="K30" s="579"/>
      <x:c r="L30" s="579"/>
      <x:c r="M30" s="579"/>
      <x:c r="N30" s="579"/>
    </x:row>
    <x:row r="31" ht="9" customHeight="1">
      <x:c r="A31" s="4"/>
      <x:c r="B31" s="5"/>
      <x:c r="C31" s="454"/>
      <x:c r="D31" s="453"/>
      <x:c r="E31" s="453"/>
      <x:c r="F31" s="453"/>
      <x:c r="G31" s="453"/>
      <x:c r="H31" s="453"/>
      <x:c r="I31" s="579"/>
      <x:c r="J31" s="579"/>
      <x:c r="K31" s="579"/>
      <x:c r="L31" s="579"/>
      <x:c r="M31" s="579"/>
      <x:c r="N31" s="579"/>
    </x:row>
    <x:row r="32" ht="9" customHeight="1">
      <x:c r="A32" s="4"/>
      <x:c r="B32" s="5"/>
      <x:c r="C32" s="454"/>
      <x:c r="D32" s="453"/>
      <x:c r="E32" s="453"/>
      <x:c r="F32" s="453"/>
      <x:c r="G32" s="453"/>
      <x:c r="H32" s="453"/>
      <x:c r="I32" s="579"/>
      <x:c r="J32" s="579"/>
      <x:c r="K32" s="579"/>
      <x:c r="L32" s="579"/>
      <x:c r="M32" s="579"/>
      <x:c r="N32" s="579"/>
    </x:row>
    <x:row r="33" ht="26.049999237060547" customHeight="1">
      <x:c r="A33" s="4"/>
      <x:c r="B33" s="5"/>
      <x:c r="C33" s="641" t="s">
        <x:v>826</x:v>
      </x:c>
      <x:c r="D33" s="642"/>
      <x:c r="E33" s="642"/>
      <x:c r="F33" s="642"/>
      <x:c r="G33" s="642"/>
      <x:c r="H33" s="642"/>
      <x:c r="I33" s="579"/>
      <x:c r="J33" s="579"/>
      <x:c r="K33" s="579"/>
      <x:c r="L33" s="579"/>
      <x:c r="M33" s="579"/>
      <x:c r="N33" s="579"/>
    </x:row>
    <x:row r="34" ht="34" customHeight="1">
      <x:c r="A34" s="4"/>
      <x:c r="B34" s="5"/>
      <x:c r="C34" s="622" t="s">
        <x:v>827</x:v>
      </x:c>
      <x:c r="D34" s="623" t="s">
        <x:v>828</x:v>
      </x:c>
      <x:c r="E34" s="623" t="s">
        <x:v>829</x:v>
      </x:c>
      <x:c r="F34" s="623" t="s">
        <x:v>830</x:v>
      </x:c>
      <x:c r="G34" s="623"/>
      <x:c r="H34" s="623"/>
      <x:c r="I34" s="579"/>
      <x:c r="J34" s="579"/>
      <x:c r="K34" s="579"/>
      <x:c r="L34" s="579"/>
      <x:c r="M34" s="579"/>
      <x:c r="N34" s="579"/>
    </x:row>
    <x:row r="35" ht="22.75" customHeight="1">
      <x:c r="A35" s="4"/>
      <x:c r="B35" s="5"/>
      <x:c r="C35" s="969">
        <x:v>0.06</x:v>
      </x:c>
      <x:c r="D35" s="901" t="n">
        <x:f>Landlord!$N$21/C35</x:f>
        <x:v>413648149.05094594</x:v>
      </x:c>
      <x:c r="E35" s="901" t="n">
        <x:f>D35*(1-Inputs!$D$30)-Development!$D$27</x:f>
        <x:v>288435186.06992704</x:v>
      </x:c>
      <x:c r="F35" s="453" t="s">
        <x:v>831</x:v>
      </x:c>
      <x:c r="G35" s="453"/>
      <x:c r="H35" s="453"/>
      <x:c r="I35" s="579"/>
      <x:c r="J35" s="579"/>
      <x:c r="K35" s="579"/>
      <x:c r="L35" s="579"/>
      <x:c r="M35" s="579"/>
      <x:c r="N35" s="579"/>
    </x:row>
    <x:row r="36" ht="22.75" customHeight="1">
      <x:c r="A36" s="4"/>
      <x:c r="B36" s="5"/>
      <x:c r="C36" s="970">
        <x:v>7.0000000000000007E-2</x:v>
      </x:c>
      <x:c r="D36" s="899" t="n">
        <x:f>Landlord!$N$21/C36</x:f>
        <x:v>354555556.3293822</x:v>
      </x:c>
      <x:c r="E36" s="899" t="n">
        <x:f>D36*(1-Inputs!$D$30)-Development!$D$27</x:f>
        <x:v>230524445.20279455</x:v>
      </x:c>
      <x:c r="F36" s="645" t="s">
        <x:v>831</x:v>
      </x:c>
      <x:c r="G36" s="645"/>
      <x:c r="H36" s="645"/>
      <x:c r="I36" s="579"/>
      <x:c r="J36" s="579"/>
      <x:c r="K36" s="579"/>
      <x:c r="L36" s="579"/>
      <x:c r="M36" s="579"/>
      <x:c r="N36" s="579"/>
    </x:row>
    <x:row r="37" ht="22.75" customHeight="1">
      <x:c r="A37" s="4"/>
      <x:c r="B37" s="5"/>
      <x:c r="C37" s="969">
        <x:v>0.08</x:v>
      </x:c>
      <x:c r="D37" s="901" t="n">
        <x:f>Landlord!$N$21/C37</x:f>
        <x:v>310236111.78820944</x:v>
      </x:c>
      <x:c r="E37" s="901" t="n">
        <x:f>D37*(1-Inputs!$D$30)-Development!$D$27</x:f>
        <x:v>187091389.55244523</x:v>
      </x:c>
      <x:c r="F37" s="453" t="s">
        <x:v>831</x:v>
      </x:c>
      <x:c r="G37" s="453"/>
      <x:c r="H37" s="453"/>
      <x:c r="I37" s="579"/>
      <x:c r="J37" s="579"/>
      <x:c r="K37" s="579"/>
      <x:c r="L37" s="579"/>
      <x:c r="M37" s="579"/>
      <x:c r="N37" s="579"/>
    </x:row>
    <x:row r="38" ht="22.75" customHeight="1">
      <x:c r="A38" s="4"/>
      <x:c r="B38" s="5"/>
      <x:c r="C38" s="971">
        <x:v>0.09</x:v>
      </x:c>
      <x:c r="D38" s="913" t="n">
        <x:f>Landlord!$N$21/C38</x:f>
        <x:v>275765432.7006306</x:v>
      </x:c>
      <x:c r="E38" s="913" t="n">
        <x:f>D38*(1-Inputs!$D$30)-Development!$D$27</x:f>
        <x:v>153310124.04661798</x:v>
      </x:c>
      <x:c r="F38" s="450" t="s">
        <x:v>831</x:v>
      </x:c>
      <x:c r="G38" s="450"/>
      <x:c r="H38" s="450"/>
      <x:c r="I38" s="579"/>
      <x:c r="J38" s="579"/>
      <x:c r="K38" s="579"/>
      <x:c r="L38" s="579"/>
      <x:c r="M38" s="579"/>
      <x:c r="N38" s="579"/>
    </x:row>
    <x:row r="39" ht="9" customHeight="1">
      <x:c r="A39" s="4"/>
      <x:c r="B39" s="5"/>
      <x:c r="C39" s="454"/>
      <x:c r="D39" s="453"/>
      <x:c r="E39" s="453"/>
      <x:c r="F39" s="453"/>
      <x:c r="G39" s="453"/>
      <x:c r="H39" s="453"/>
      <x:c r="I39" s="579"/>
      <x:c r="J39" s="579"/>
      <x:c r="K39" s="579"/>
      <x:c r="L39" s="579"/>
      <x:c r="M39" s="579"/>
      <x:c r="N39" s="579"/>
    </x:row>
    <x:row r="40" ht="34.29999923706055" customHeight="1">
      <x:c r="A40" s="4"/>
      <x:c r="B40" s="5"/>
      <x:c r="C40" s="621" t="s">
        <x:v>832</x:v>
      </x:c>
      <x:c r="D40" s="453"/>
      <x:c r="E40" s="453"/>
      <x:c r="F40" s="453"/>
      <x:c r="G40" s="453"/>
      <x:c r="H40" s="453"/>
      <x:c r="I40" s="579"/>
      <x:c r="J40" s="579"/>
      <x:c r="K40" s="579"/>
      <x:c r="L40" s="579"/>
      <x:c r="M40" s="579"/>
      <x:c r="N40" s="579"/>
    </x:row>
    <x:row r="41" ht="9" customHeight="1">
      <x:c r="A41" s="4"/>
      <x:c r="B41" s="5"/>
      <x:c r="C41" s="454"/>
      <x:c r="D41" s="453"/>
      <x:c r="E41" s="453"/>
      <x:c r="F41" s="453"/>
      <x:c r="G41" s="453"/>
      <x:c r="H41" s="453"/>
      <x:c r="I41" s="579"/>
      <x:c r="J41" s="579"/>
      <x:c r="K41" s="579"/>
      <x:c r="L41" s="579"/>
      <x:c r="M41" s="579"/>
      <x:c r="N41" s="579"/>
    </x:row>
    <x:row r="42" ht="9" customHeight="1">
      <x:c r="A42" s="4"/>
      <x:c r="B42" s="5"/>
      <x:c r="C42" s="454"/>
      <x:c r="D42" s="453"/>
      <x:c r="E42" s="453"/>
      <x:c r="F42" s="453"/>
      <x:c r="G42" s="453"/>
      <x:c r="H42" s="453"/>
      <x:c r="I42" s="579"/>
      <x:c r="J42" s="579"/>
      <x:c r="K42" s="579"/>
      <x:c r="L42" s="579"/>
      <x:c r="M42" s="579"/>
      <x:c r="N42" s="579"/>
    </x:row>
    <x:row r="43" ht="9" customHeight="1">
      <x:c r="A43" s="4"/>
      <x:c r="B43" s="5"/>
      <x:c r="C43" s="454"/>
      <x:c r="D43" s="453"/>
      <x:c r="E43" s="453"/>
      <x:c r="F43" s="453"/>
      <x:c r="G43" s="453"/>
      <x:c r="H43" s="453"/>
      <x:c r="I43" s="579"/>
      <x:c r="J43" s="579"/>
      <x:c r="K43" s="579"/>
      <x:c r="L43" s="579"/>
      <x:c r="M43" s="579"/>
      <x:c r="N43" s="579"/>
    </x:row>
    <x:row r="44" ht="26.049999237060547" customHeight="1">
      <x:c r="A44" s="4"/>
      <x:c r="B44" s="5"/>
      <x:c r="C44" s="641" t="s">
        <x:v>833</x:v>
      </x:c>
      <x:c r="D44" s="642"/>
      <x:c r="E44" s="642"/>
      <x:c r="F44" s="642"/>
      <x:c r="G44" s="642"/>
      <x:c r="H44" s="642"/>
      <x:c r="I44" s="579"/>
      <x:c r="J44" s="579"/>
      <x:c r="K44" s="579"/>
      <x:c r="L44" s="579"/>
      <x:c r="M44" s="579"/>
      <x:c r="N44" s="579"/>
    </x:row>
    <x:row r="45" ht="22.200000762939453" customHeight="1">
      <x:c r="A45" s="4"/>
      <x:c r="B45" s="5"/>
      <x:c r="C45" s="621" t="str">
        <x:v>READ | Cost/rent sensitivities use Year-1 NOI and Total Development Cost, including development finance. Independent screens do not update the full cash-flow forecast.</x:v>
      </x:c>
      <x:c r="D45" s="453"/>
      <x:c r="E45" s="453"/>
      <x:c r="F45" s="453"/>
      <x:c r="G45" s="453"/>
      <x:c r="H45" s="453"/>
      <x:c r="I45" s="579"/>
      <x:c r="J45" s="579"/>
      <x:c r="K45" s="579"/>
      <x:c r="L45" s="579"/>
      <x:c r="M45" s="579"/>
      <x:c r="N45" s="579"/>
    </x:row>
    <x:row r="46" ht="34.29999923706055" customHeight="1">
      <x:c r="A46" s="4"/>
      <x:c r="B46" s="5"/>
      <x:c r="C46" s="621" t="s">
        <x:v>834</x:v>
      </x:c>
      <x:c r="D46" s="453"/>
      <x:c r="E46" s="453"/>
      <x:c r="F46" s="453"/>
      <x:c r="G46" s="453"/>
      <x:c r="H46" s="453"/>
      <x:c r="I46" s="579"/>
      <x:c r="J46" s="579"/>
      <x:c r="K46" s="579"/>
      <x:c r="L46" s="579"/>
      <x:c r="M46" s="579"/>
      <x:c r="N46" s="579"/>
    </x:row>
    <x:row r="47" ht="34.29999923706055" customHeight="1">
      <x:c r="A47" s="7"/>
      <x:c r="B47" s="8"/>
      <x:c r="C47" s="621" t="s">
        <x:v>835</x:v>
      </x:c>
      <x:c r="D47" s="453"/>
      <x:c r="E47" s="453"/>
      <x:c r="F47" s="453"/>
      <x:c r="G47" s="453"/>
      <x:c r="H47" s="453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08  |  PROPERTY-RETURN SENSITIVITIES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Which rent, Total Development Cost and exit assumptions change the case?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Stress independently: capital cost, rent, valuation and financing. Do not report scenario values as forecasts.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Rent $175/kW/mo — annual NOI</x:v>
      </x:c>
      <x:c r="Q211" s="1037" t="n">
        <x:f>E7</x:f>
        <x:v>13750000</x:v>
      </x:c>
      <x:c r="R211" s="599" t="str">
        <x:v>Sensitivity tab</x:v>
      </x:c>
      <x:c r="S211" s="599" t="str">
        <x:v>Annual NOI under alternate contractual capacity rent.</x:v>
      </x:c>
    </x:row>
    <x:row r="212" ht="17.110000610351562" hidden="0" customHeight="1">
      <x:c r="P212" s="509" t="str">
        <x:v>Rent $200/kW/mo — annual NOI</x:v>
      </x:c>
      <x:c r="Q212" s="1036" t="n">
        <x:f>E8</x:f>
        <x:v>16750000</x:v>
      </x:c>
      <x:c r="R212" s="510" t="str">
        <x:v>Sensitivity tab</x:v>
      </x:c>
      <x:c r="S212" s="510" t="str">
        <x:v>Annual NOI under alternate contractual capacity rent.</x:v>
      </x:c>
    </x:row>
    <x:row r="213" ht="17.110000610351562" hidden="0" customHeight="1">
      <x:c r="P213" s="597" t="str">
        <x:v>Rent $225/kW/mo — annual NOI</x:v>
      </x:c>
      <x:c r="Q213" s="1037" t="n">
        <x:f>E9</x:f>
        <x:v>19750000</x:v>
      </x:c>
      <x:c r="R213" s="599" t="str">
        <x:v>Sensitivity tab</x:v>
      </x:c>
      <x:c r="S213" s="599" t="str">
        <x:v>Annual NOI under alternate contractual capacity rent.</x:v>
      </x:c>
    </x:row>
    <x:row r="214" ht="17.110000610351562" hidden="0" customHeight="1">
      <x:c r="P214" s="509" t="str">
        <x:v>All-in cost $180m — NOI yield</x:v>
      </x:c>
      <x:c r="Q214" s="611" t="n">
        <x:f>D16</x:f>
        <x:v>0.0763888888888889</x:v>
      </x:c>
      <x:c r="R214" s="510" t="str">
        <x:v>Sensitivity tab</x:v>
      </x:c>
      <x:c r="S214" s="510" t="str">
        <x:v>Illustrative property yield with an alternative cost basis.</x:v>
      </x:c>
    </x:row>
    <x:row r="215" ht="17.110000610351562" hidden="0" customHeight="1">
      <x:c r="P215" s="597" t="str">
        <x:v>All-in cost $220m — NOI yield</x:v>
      </x:c>
      <x:c r="Q215" s="672" t="n">
        <x:f>D18</x:f>
        <x:v>0.0625</x:v>
      </x:c>
      <x:c r="R215" s="599" t="str">
        <x:v>Sensitivity tab</x:v>
      </x:c>
      <x:c r="S215" s="599" t="str">
        <x:v>Illustrative property yield with an alternative cost basis.</x:v>
      </x:c>
    </x:row>
    <x:row r="216" ht="17.110000610351562" hidden="0" customHeight="1">
      <x:c r="P216" s="509" t="str">
        <x:v>All-in cost $260m — NOI yield</x:v>
      </x:c>
      <x:c r="Q216" s="611" t="n">
        <x:f>D20</x:f>
        <x:v>0.052884615384615384</x:v>
      </x:c>
      <x:c r="R216" s="510" t="str">
        <x:v>Sensitivity tab</x:v>
      </x:c>
      <x:c r="S216" s="510" t="str">
        <x:v>Illustrative property yield with an alternative cost basis.</x:v>
      </x:c>
    </x:row>
    <x:row r="217" ht="17.110000610351562" hidden="0" customHeight="1">
      <x:c r="P217" s="597" t="str">
        <x:v>12-month delay — added equity</x:v>
      </x:c>
      <x:c r="Q217" s="1037" t="n">
        <x:f>E27</x:f>
        <x:v>9355200</x:v>
      </x:c>
      <x:c r="R217" s="599" t="str">
        <x:v>Sensitivity tab</x:v>
      </x:c>
      <x:c r="S217" s="599" t="str">
        <x:v>Extra construction interest; not foregone rent.</x:v>
      </x:c>
    </x:row>
    <x:row r="218" ht="2" customHeight="1">
      <x:c r="P218" s="509"/>
      <x:c r="Q218" s="510"/>
      <x:c r="R218" s="510"/>
      <x:c r="S218" s="510"/>
    </x:row>
    <x:row r="219" ht="2" customHeight="1">
      <x:c r="P219" s="509"/>
      <x:c r="Q219" s="510"/>
      <x:c r="R219" s="510"/>
      <x:c r="S219" s="510"/>
    </x:row>
    <x:row r="220" ht="2" customHeight="1">
      <x:c r="P220" s="509"/>
      <x:c r="Q220" s="510"/>
      <x:c r="R220" s="510"/>
      <x:c r="S220" s="510"/>
    </x:row>
    <x:row r="221" ht="2" customHeight="1">
      <x:c r="P221" s="509"/>
      <x:c r="Q221" s="510"/>
      <x:c r="R221" s="510"/>
      <x:c r="S221" s="510"/>
    </x:row>
    <x:row r="222" ht="2" customHeight="1">
      <x:c r="P222" s="509"/>
      <x:c r="Q222" s="510"/>
      <x:c r="R222" s="510"/>
      <x:c r="S222" s="510"/>
    </x:row>
    <x:row r="223" ht="2" customHeight="1">
      <x:c r="P223" s="509"/>
      <x:c r="Q223" s="510"/>
      <x:c r="R223" s="510"/>
      <x:c r="S223" s="510"/>
    </x:row>
    <x:row r="224" ht="2" customHeight="1">
      <x:c r="P224" s="509"/>
      <x:c r="Q224" s="510"/>
      <x:c r="R224" s="510"/>
      <x:c r="S224" s="510"/>
    </x:row>
    <x:row r="225" ht="2" customHeight="1">
      <x:c r="P225" s="509"/>
      <x:c r="Q225" s="510"/>
      <x:c r="R225" s="510"/>
      <x:c r="S225" s="510"/>
    </x:row>
    <x:row r="226" ht="2" customHeight="1">
      <x:c r="P226" s="509"/>
      <x:c r="Q226" s="510"/>
      <x:c r="R226" s="510"/>
      <x:c r="S226" s="510"/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18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47:H47"/>
    <x:mergeCell ref="F38:H38"/>
    <x:mergeCell ref="C40:H40"/>
    <x:mergeCell ref="C44:H44"/>
    <x:mergeCell ref="C45:H45"/>
    <x:mergeCell ref="C46:H46"/>
    <x:mergeCell ref="C30:H30"/>
    <x:mergeCell ref="C33:H33"/>
    <x:mergeCell ref="F35:H35"/>
    <x:mergeCell ref="F36:H36"/>
    <x:mergeCell ref="F37:H37"/>
    <x:mergeCell ref="C3:H3"/>
    <x:mergeCell ref="C4:H4"/>
    <x:mergeCell ref="C5:H5"/>
    <x:mergeCell ref="C14:H14"/>
    <x:mergeCell ref="C23:H23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19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836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tr">
        <x:v>Which rent, Total Development Cost, delay and exit assumptions change the case?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837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838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839</x:v>
      </x:c>
      <x:c r="D12" s="913" t="n">
        <x:f>Sensitivity!E7</x:f>
        <x:v>13750000</x:v>
      </x:c>
      <x:c r="E12" s="450" t="str">
        <x:v>Sensitivity tab</x:v>
      </x:c>
      <x:c r="F12" s="450" t="s">
        <x:v>840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841</x:v>
      </x:c>
      <x:c r="D13" s="901" t="n">
        <x:f>Sensitivity!E8</x:f>
        <x:v>16750000</x:v>
      </x:c>
      <x:c r="E13" s="453" t="str">
        <x:v>Sensitivity tab</x:v>
      </x:c>
      <x:c r="F13" s="453" t="s">
        <x:v>842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843</x:v>
      </x:c>
      <x:c r="D14" s="913" t="n">
        <x:f>Sensitivity!E9</x:f>
        <x:v>19750000</x:v>
      </x:c>
      <x:c r="E14" s="450" t="str">
        <x:v>Sensitivity tab</x:v>
      </x:c>
      <x:c r="F14" s="450" t="s">
        <x:v>844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845</x:v>
      </x:c>
      <x:c r="D15" s="901" t="n">
        <x:f>Sensitivity!E10</x:f>
        <x:v>22750000</x:v>
      </x:c>
      <x:c r="E15" s="453" t="str">
        <x:v>Sensitivity tab</x:v>
      </x:c>
      <x:c r="F15" s="453" t="s">
        <x:v>846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847</x:v>
      </x:c>
      <x:c r="D16" s="913" t="n">
        <x:f>Sensitivity!E11</x:f>
        <x:v>25750000</x:v>
      </x:c>
      <x:c r="E16" s="450" t="str">
        <x:v>Sensitivity tab</x:v>
      </x:c>
      <x:c r="F16" s="450" t="s">
        <x:v>848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5" customHeight="1">
      <x:c r="A17" s="4"/>
      <x:c r="B17" s="5"/>
      <x:c r="C17" s="641" t="s">
        <x:v>849</x:v>
      </x:c>
      <x:c r="D17" s="977"/>
      <x:c r="E17" s="642"/>
      <x:c r="F17" s="642"/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850</x:v>
      </x:c>
      <x:c r="D18" s="913" t="n">
        <x:f>Sensitivity!D26</x:f>
        <x:v>4677600</x:v>
      </x:c>
      <x:c r="E18" s="450" t="str">
        <x:v>Sensitivity tab</x:v>
      </x:c>
      <x:c r="F18" s="450" t="s">
        <x:v>851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852</x:v>
      </x:c>
      <x:c r="D19" s="901" t="n">
        <x:f>Sensitivity!D27</x:f>
        <x:v>9355200</x:v>
      </x:c>
      <x:c r="E19" s="453" t="str">
        <x:v>Sensitivity tab</x:v>
      </x:c>
      <x:c r="F19" s="453" t="s">
        <x:v>853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854</x:v>
      </x:c>
      <x:c r="D20" s="913" t="n">
        <x:f>Sensitivity!D28</x:f>
        <x:v>18710400</x:v>
      </x:c>
      <x:c r="E20" s="450" t="str">
        <x:v>Sensitivity tab</x:v>
      </x:c>
      <x:c r="F20" s="450" t="s">
        <x:v>855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5" customHeight="1">
      <x:c r="A21" s="4"/>
      <x:c r="B21" s="5"/>
      <x:c r="C21" s="641" t="s">
        <x:v>856</x:v>
      </x:c>
      <x:c r="D21" s="977"/>
      <x:c r="E21" s="642"/>
      <x:c r="F21" s="642"/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857</x:v>
      </x:c>
      <x:c r="D22" s="913" t="n">
        <x:f>Sensitivity!E35</x:f>
        <x:v>288435186.06992704</x:v>
      </x:c>
      <x:c r="E22" s="450" t="str">
        <x:v>Sensitivity tab</x:v>
      </x:c>
      <x:c r="F22" s="450" t="s">
        <x:v>858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859</x:v>
      </x:c>
      <x:c r="D23" s="901" t="n">
        <x:f>Sensitivity!E36</x:f>
        <x:v>230524445.20279455</x:v>
      </x:c>
      <x:c r="E23" s="453" t="str">
        <x:v>Sensitivity tab</x:v>
      </x:c>
      <x:c r="F23" s="453" t="s">
        <x:v>860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861</x:v>
      </x:c>
      <x:c r="D24" s="913" t="n">
        <x:f>Sensitivity!E37</x:f>
        <x:v>187091389.55244523</x:v>
      </x:c>
      <x:c r="E24" s="450" t="str">
        <x:v>Sensitivity tab</x:v>
      </x:c>
      <x:c r="F24" s="450" t="s">
        <x:v>862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863</x:v>
      </x:c>
      <x:c r="D25" s="901" t="n">
        <x:f>Sensitivity!E38</x:f>
        <x:v>153310124.04661798</x:v>
      </x:c>
      <x:c r="E25" s="453" t="str">
        <x:v>Sensitivity tab</x:v>
      </x:c>
      <x:c r="F25" s="453" t="s">
        <x:v>864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5" customHeight="1">
      <x:c r="A26" s="4"/>
      <x:c r="B26" s="5"/>
      <x:c r="C26" s="641" t="s">
        <x:v>865</x:v>
      </x:c>
      <x:c r="D26" s="977"/>
      <x:c r="E26" s="642"/>
      <x:c r="F26" s="642"/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866</x:v>
      </x:c>
      <x:c r="D27" s="901" t="n">
        <x:f>Landlord!D21</x:f>
        <x:v>19750000</x:v>
      </x:c>
      <x:c r="E27" s="453" t="str">
        <x:v>Landlord tab</x:v>
      </x:c>
      <x:c r="F27" s="453" t="s">
        <x:v>867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9" customHeight="1">
      <x:c r="A28" s="4"/>
      <x:c r="B28" s="5"/>
      <x:c r="C28" s="454"/>
      <x:c r="D28" s="979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 ht="22.200000762939453" customHeight="1">
      <x:c r="A29" s="7"/>
      <x:c r="B29" s="8"/>
      <x:c r="C29" s="621" t="s">
        <x:v>233</x:v>
      </x:c>
      <x:c r="D29" s="979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>
      <x:c r="C30" s="556"/>
      <x:c r="D30" s="579"/>
      <x:c r="E30" s="579"/>
      <x:c r="F30" s="579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08  |  PROPERTY-RETURN SENSITIVITIES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Which rent, development-cost and exit assumptions change the property case? Independent screens, not a stressed IRR.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Stress independently: capital cost, rent, valuation and financing. Do not report scenario values as forecasts.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RENT PRICING | OPERATING PROPERTY YIELD</x:v>
      </x:c>
      <x:c r="Q211" s="1047"/>
      <x:c r="R211" s="685" t="str"/>
      <x:c r="S211" s="685" t="str"/>
    </x:row>
    <x:row r="212" ht="17.110000610351562" hidden="0" customHeight="1">
      <x:c r="P212" s="509" t="str">
        <x:v>Rent $175 | NOI</x:v>
      </x:c>
      <x:c r="Q212" s="1036" t="n">
        <x:f>E08_Sensitivity!D12</x:f>
        <x:v>13750000</x:v>
      </x:c>
      <x:c r="R212" s="510" t="str">
        <x:v>Sensitivity tab</x:v>
      </x:c>
      <x:c r="S212" s="510" t="str">
        <x:v>No different lease costs assumed.</x:v>
      </x:c>
    </x:row>
    <x:row r="213" ht="17.110000610351562" hidden="0" customHeight="1">
      <x:c r="P213" s="597" t="str">
        <x:v>Rent $200 | NOI</x:v>
      </x:c>
      <x:c r="Q213" s="1037" t="n">
        <x:f>E08_Sensitivity!D13</x:f>
        <x:v>16750000</x:v>
      </x:c>
      <x:c r="R213" s="599" t="str">
        <x:v>Sensitivity tab</x:v>
      </x:c>
      <x:c r="S213" s="599" t="str">
        <x:v>Fixed non-power OPEX in sensitivity.</x:v>
      </x:c>
    </x:row>
    <x:row r="214" ht="17.110000610351562" hidden="0" customHeight="1">
      <x:c r="P214" s="509" t="str">
        <x:v>Rent $225 | NOI BASE</x:v>
      </x:c>
      <x:c r="Q214" s="1036" t="n">
        <x:f>E08_Sensitivity!D14</x:f>
        <x:v>19750000</x:v>
      </x:c>
      <x:c r="R214" s="510" t="str">
        <x:v>Sensitivity tab</x:v>
      </x:c>
      <x:c r="S214" s="510" t="str">
        <x:v>Base investment case.</x:v>
      </x:c>
    </x:row>
    <x:row r="215" ht="17.110000610351562" hidden="0" customHeight="1">
      <x:c r="P215" s="597" t="str">
        <x:v>Rent $250 | NOI</x:v>
      </x:c>
      <x:c r="Q215" s="1037" t="n">
        <x:f>E08_Sensitivity!D15</x:f>
        <x:v>22750000</x:v>
      </x:c>
      <x:c r="R215" s="599" t="str">
        <x:v>Sensitivity tab</x:v>
      </x:c>
      <x:c r="S215" s="599" t="str">
        <x:v>Requires comparable market evidence.</x:v>
      </x:c>
    </x:row>
    <x:row r="216" ht="17.110000610351562" hidden="0" customHeight="1">
      <x:c r="P216" s="509" t="str">
        <x:v>Rent $275 | NOI</x:v>
      </x:c>
      <x:c r="Q216" s="1036" t="n">
        <x:f>E08_Sensitivity!D16</x:f>
        <x:v>25750000</x:v>
      </x:c>
      <x:c r="R216" s="510" t="str">
        <x:v>Sensitivity tab</x:v>
      </x:c>
      <x:c r="S216" s="510" t="str">
        <x:v>Not guaranteed achievable.</x:v>
      </x:c>
    </x:row>
    <x:row r="217" ht="16" hidden="0" customHeight="1">
      <x:c r="P217" s="684" t="str">
        <x:v>DEVELOPMENT DELAY | EXTRA DEBT INTEREST</x:v>
      </x:c>
      <x:c r="Q217" s="1047"/>
      <x:c r="R217" s="685" t="str"/>
      <x:c r="S217" s="685" t="str"/>
    </x:row>
    <x:row r="218" ht="17.110000610351562" hidden="0" customHeight="1">
      <x:c r="P218" s="509" t="str">
        <x:v>6-month delay interest</x:v>
      </x:c>
      <x:c r="Q218" s="1036" t="n">
        <x:f>E08_Sensitivity!D18</x:f>
        <x:v>4677600</x:v>
      </x:c>
      <x:c r="R218" s="510" t="str">
        <x:v>Sensitivity tab</x:v>
      </x:c>
      <x:c r="S218" s="510" t="str">
        <x:v>Debt fully drawn, no rent during delay.</x:v>
      </x:c>
    </x:row>
    <x:row r="219" ht="17.110000610351562" hidden="0" customHeight="1">
      <x:c r="P219" s="597" t="str">
        <x:v>12-month delay interest</x:v>
      </x:c>
      <x:c r="Q219" s="1037" t="n">
        <x:f>E08_Sensitivity!D19</x:f>
        <x:v>9355200</x:v>
      </x:c>
      <x:c r="R219" s="599" t="str">
        <x:v>Sensitivity tab</x:v>
      </x:c>
      <x:c r="S219" s="599" t="str">
        <x:v>Additional equity funding necessary.</x:v>
      </x:c>
    </x:row>
    <x:row r="220" ht="17.110000610351562" hidden="0" customHeight="1">
      <x:c r="P220" s="509" t="str">
        <x:v>24-month delay interest</x:v>
      </x:c>
      <x:c r="Q220" s="1036" t="n">
        <x:f>E08_Sensitivity!D20</x:f>
        <x:v>18710400</x:v>
      </x:c>
      <x:c r="R220" s="510" t="str">
        <x:v>Sensitivity tab</x:v>
      </x:c>
      <x:c r="S220" s="510" t="str">
        <x:v>Excludes some non-interest carry.</x:v>
      </x:c>
    </x:row>
    <x:row r="221" ht="16" hidden="0" customHeight="1">
      <x:c r="P221" s="684" t="str">
        <x:v>CAP RATE | EFFECT ON EQUITY SALE PROCEEDS</x:v>
      </x:c>
      <x:c r="Q221" s="1047"/>
      <x:c r="R221" s="685" t="str"/>
      <x:c r="S221" s="685" t="str"/>
    </x:row>
    <x:row r="222" ht="17.110000610351562" hidden="0" customHeight="1">
      <x:c r="P222" s="509" t="str">
        <x:v>Exit 6% cap | net equity sale</x:v>
      </x:c>
      <x:c r="Q222" s="1036" t="n">
        <x:f>E08_Sensitivity!D22</x:f>
        <x:v>288435186.06992704</x:v>
      </x:c>
      <x:c r="R222" s="510" t="str">
        <x:v>Sensitivity tab</x:v>
      </x:c>
      <x:c r="S222" s="510" t="str">
        <x:v>Lower cap implies higher sale valuation.</x:v>
      </x:c>
    </x:row>
    <x:row r="223" ht="17.110000610351562" hidden="0" customHeight="1">
      <x:c r="P223" s="597" t="str">
        <x:v>Exit 7% cap | net equity sale</x:v>
      </x:c>
      <x:c r="Q223" s="1037" t="n">
        <x:f>E08_Sensitivity!D23</x:f>
        <x:v>230524445.20279455</x:v>
      </x:c>
      <x:c r="R223" s="599" t="str">
        <x:v>Sensitivity tab</x:v>
      </x:c>
      <x:c r="S223" s="599" t="str">
        <x:v>Base scenario.</x:v>
      </x:c>
    </x:row>
    <x:row r="224" ht="17.110000610351562" hidden="0" customHeight="1">
      <x:c r="P224" s="509" t="str">
        <x:v>Exit 8% cap | net equity sale</x:v>
      </x:c>
      <x:c r="Q224" s="1036" t="n">
        <x:f>E08_Sensitivity!D24</x:f>
        <x:v>187091389.55244523</x:v>
      </x:c>
      <x:c r="R224" s="510" t="str">
        <x:v>Sensitivity tab</x:v>
      </x:c>
      <x:c r="S224" s="510" t="str">
        <x:v>Stress case.</x:v>
      </x:c>
    </x:row>
    <x:row r="225" ht="17.110000610351562" hidden="0" customHeight="1">
      <x:c r="P225" s="597" t="str">
        <x:v>Exit 9% cap | net equity sale</x:v>
      </x:c>
      <x:c r="Q225" s="1037" t="n">
        <x:f>E08_Sensitivity!D25</x:f>
        <x:v>153310124.04661798</x:v>
      </x:c>
      <x:c r="R225" s="599" t="str">
        <x:v>Sensitivity tab</x:v>
      </x:c>
      <x:c r="S225" s="599" t="str">
        <x:v>More conservative terminal exit.</x:v>
      </x:c>
    </x:row>
    <x:row r="226" ht="16" hidden="0" customHeight="1">
      <x:c r="P226" s="684" t="str">
        <x:v>INVESTOR USE</x:v>
      </x:c>
      <x:c r="Q226" s="1047"/>
      <x:c r="R226" s="685" t="str"/>
      <x:c r="S226" s="685" t="str"/>
    </x:row>
    <x:row r="227" ht="17.110000610351562" hidden="0" customHeight="1">
      <x:c r="P227" s="597" t="str">
        <x:v>Base-case NOI | context only</x:v>
      </x:c>
      <x:c r="Q227" s="1037" t="n">
        <x:f>E08_Sensitivity!D27</x:f>
        <x:v>19750000</x:v>
      </x:c>
      <x:c r="R227" s="599" t="str">
        <x:v>Landlord tab</x:v>
      </x:c>
      <x:c r="S227" s="599" t="str">
        <x:v>Run each case separately; no scenario IRR in tab.</x:v>
      </x:c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19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1:F21"/>
    <x:mergeCell ref="C26:F26"/>
    <x:mergeCell ref="C29:F29"/>
    <x:mergeCell ref="C3:D3"/>
    <x:mergeCell ref="C4:F4"/>
    <x:mergeCell ref="C5:F5"/>
    <x:mergeCell ref="C7:F7"/>
    <x:mergeCell ref="C11:F11"/>
    <x:mergeCell ref="C17:F17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17:S217"/>
    <x:mergeCell ref="P221:S221"/>
    <x:mergeCell ref="P226:S226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0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8.15234375" customWidth="1"/>
    <x:col min="4" max="4" width="23.765625" customWidth="1"/>
    <x:col min="5" max="5" width="41.23046875" customWidth="1"/>
    <x:col min="6" max="6" width="21.84375" customWidth="1"/>
    <x:col min="7" max="7" width="37.4609375" customWidth="1"/>
    <x:col min="8" max="8" width="44.382812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2"/>
      <x:c r="H1" s="3"/>
    </x:row>
    <x:row r="2" ht="12" customHeight="1">
      <x:c r="A2" s="4"/>
      <x:c r="B2" s="5"/>
      <x:c r="C2" s="5"/>
      <x:c r="D2" s="5"/>
      <x:c r="E2" s="5"/>
      <x:c r="F2" s="5"/>
      <x:c r="G2" s="5"/>
      <x:c r="H2" s="6"/>
    </x:row>
    <x:row r="3" ht="34" customHeight="1">
      <x:c r="A3" s="4"/>
      <x:c r="B3" s="5"/>
      <x:c r="C3" s="617" t="s">
        <x:v>868</x:v>
      </x:c>
      <x:c r="D3" s="618"/>
      <x:c r="E3" s="618"/>
      <x:c r="F3" s="618"/>
      <x:c r="G3" s="618"/>
      <x:c r="H3" s="618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869</x:v>
      </x:c>
      <x:c r="D4" s="569"/>
      <x:c r="E4" s="569"/>
      <x:c r="F4" s="569"/>
      <x:c r="G4" s="569"/>
      <x:c r="H4" s="569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870</x:v>
      </x:c>
      <x:c r="D5" s="633"/>
      <x:c r="E5" s="633"/>
      <x:c r="F5" s="633"/>
      <x:c r="G5" s="633"/>
      <x:c r="H5" s="633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871</x:v>
      </x:c>
      <x:c r="D6" s="623" t="s">
        <x:v>872</x:v>
      </x:c>
      <x:c r="E6" s="623" t="s">
        <x:v>873</x:v>
      </x:c>
      <x:c r="F6" s="623" t="s">
        <x:v>874</x:v>
      </x:c>
      <x:c r="G6" s="623" t="s">
        <x:v>875</x:v>
      </x:c>
      <x:c r="H6" s="623" t="s">
        <x:v>876</x:v>
      </x:c>
      <x:c r="I6" s="556"/>
      <x:c r="J6" s="556"/>
      <x:c r="K6" s="556"/>
      <x:c r="L6" s="556"/>
      <x:c r="M6" s="556"/>
      <x:c r="N6" s="556"/>
    </x:row>
    <x:row r="7" ht="35.599998474121094" customHeight="1">
      <x:c r="A7" s="4"/>
      <x:c r="B7" s="5"/>
      <x:c r="C7" s="454" t="s">
        <x:v>877</x:v>
      </x:c>
      <x:c r="D7" s="453" t="s">
        <x:v>878</x:v>
      </x:c>
      <x:c r="E7" s="453" t="s">
        <x:v>879</x:v>
      </x:c>
      <x:c r="F7" s="453" t="s">
        <x:v>880</x:v>
      </x:c>
      <x:c r="G7" s="453" t="s">
        <x:v>881</x:v>
      </x:c>
      <x:c r="H7" s="453" t="s">
        <x:v>882</x:v>
      </x:c>
      <x:c r="I7" s="579"/>
      <x:c r="J7" s="579"/>
      <x:c r="K7" s="579"/>
      <x:c r="L7" s="579"/>
      <x:c r="M7" s="579"/>
      <x:c r="N7" s="579"/>
    </x:row>
    <x:row r="8" ht="48.45000076293945" customHeight="1">
      <x:c r="A8" s="4"/>
      <x:c r="B8" s="5"/>
      <x:c r="C8" s="451" t="s">
        <x:v>883</x:v>
      </x:c>
      <x:c r="D8" s="450" t="s">
        <x:v>884</x:v>
      </x:c>
      <x:c r="E8" s="450" t="s">
        <x:v>885</x:v>
      </x:c>
      <x:c r="F8" s="450" t="s">
        <x:v>886</x:v>
      </x:c>
      <x:c r="G8" s="450" t="s">
        <x:v>887</x:v>
      </x:c>
      <x:c r="H8" s="450" t="s">
        <x:v>888</x:v>
      </x:c>
      <x:c r="I8" s="579"/>
      <x:c r="J8" s="579"/>
      <x:c r="K8" s="579"/>
      <x:c r="L8" s="579"/>
      <x:c r="M8" s="579"/>
      <x:c r="N8" s="579"/>
    </x:row>
    <x:row r="9" ht="35.599998474121094" customHeight="1">
      <x:c r="A9" s="4"/>
      <x:c r="B9" s="5"/>
      <x:c r="C9" s="454" t="s">
        <x:v>889</x:v>
      </x:c>
      <x:c r="D9" s="453" t="s">
        <x:v>890</x:v>
      </x:c>
      <x:c r="E9" s="453" t="s">
        <x:v>891</x:v>
      </x:c>
      <x:c r="F9" s="453" t="s">
        <x:v>892</x:v>
      </x:c>
      <x:c r="G9" s="453" t="s">
        <x:v>893</x:v>
      </x:c>
      <x:c r="H9" s="453" t="s">
        <x:v>894</x:v>
      </x:c>
      <x:c r="I9" s="579"/>
      <x:c r="J9" s="579"/>
      <x:c r="K9" s="579"/>
      <x:c r="L9" s="579"/>
      <x:c r="M9" s="579"/>
      <x:c r="N9" s="579"/>
    </x:row>
    <x:row r="10" ht="35.599998474121094" customHeight="1">
      <x:c r="A10" s="4"/>
      <x:c r="B10" s="5"/>
      <x:c r="C10" s="451" t="s">
        <x:v>895</x:v>
      </x:c>
      <x:c r="D10" s="450" t="s">
        <x:v>896</x:v>
      </x:c>
      <x:c r="E10" s="450" t="s">
        <x:v>897</x:v>
      </x:c>
      <x:c r="F10" s="450" t="s">
        <x:v>898</x:v>
      </x:c>
      <x:c r="G10" s="450" t="s">
        <x:v>899</x:v>
      </x:c>
      <x:c r="H10" s="450" t="s">
        <x:v>900</x:v>
      </x:c>
      <x:c r="I10" s="579"/>
      <x:c r="J10" s="579"/>
      <x:c r="K10" s="579"/>
      <x:c r="L10" s="579"/>
      <x:c r="M10" s="579"/>
      <x:c r="N10" s="579"/>
    </x:row>
    <x:row r="11" ht="35.599998474121094" customHeight="1">
      <x:c r="A11" s="4"/>
      <x:c r="B11" s="5"/>
      <x:c r="C11" s="454" t="s">
        <x:v>901</x:v>
      </x:c>
      <x:c r="D11" s="453" t="s">
        <x:v>902</x:v>
      </x:c>
      <x:c r="E11" s="453" t="s">
        <x:v>903</x:v>
      </x:c>
      <x:c r="F11" s="453" t="s">
        <x:v>898</x:v>
      </x:c>
      <x:c r="G11" s="453" t="s">
        <x:v>904</x:v>
      </x:c>
      <x:c r="H11" s="453" t="s">
        <x:v>900</x:v>
      </x:c>
      <x:c r="I11" s="579"/>
      <x:c r="J11" s="579"/>
      <x:c r="K11" s="579"/>
      <x:c r="L11" s="579"/>
      <x:c r="M11" s="579"/>
      <x:c r="N11" s="579"/>
    </x:row>
    <x:row r="12" ht="35.599998474121094" customHeight="1">
      <x:c r="A12" s="4"/>
      <x:c r="B12" s="5"/>
      <x:c r="C12" s="451" t="s">
        <x:v>905</x:v>
      </x:c>
      <x:c r="D12" s="450" t="s">
        <x:v>906</x:v>
      </x:c>
      <x:c r="E12" s="450" t="s">
        <x:v>907</x:v>
      </x:c>
      <x:c r="F12" s="450" t="s">
        <x:v>892</x:v>
      </x:c>
      <x:c r="G12" s="450" t="s">
        <x:v>908</x:v>
      </x:c>
      <x:c r="H12" s="450" t="s">
        <x:v>909</x:v>
      </x:c>
      <x:c r="I12" s="579"/>
      <x:c r="J12" s="579"/>
      <x:c r="K12" s="579"/>
      <x:c r="L12" s="579"/>
      <x:c r="M12" s="579"/>
      <x:c r="N12" s="579"/>
    </x:row>
    <x:row r="13" ht="35.599998474121094" customHeight="1">
      <x:c r="A13" s="4"/>
      <x:c r="B13" s="5"/>
      <x:c r="C13" s="454" t="s">
        <x:v>910</x:v>
      </x:c>
      <x:c r="D13" s="453" t="s">
        <x:v>911</x:v>
      </x:c>
      <x:c r="E13" s="453" t="s">
        <x:v>912</x:v>
      </x:c>
      <x:c r="F13" s="453" t="s">
        <x:v>892</x:v>
      </x:c>
      <x:c r="G13" s="453" t="s">
        <x:v>913</x:v>
      </x:c>
      <x:c r="H13" s="453" t="s">
        <x:v>914</x:v>
      </x:c>
      <x:c r="I13" s="579"/>
      <x:c r="J13" s="579"/>
      <x:c r="K13" s="579"/>
      <x:c r="L13" s="579"/>
      <x:c r="M13" s="579"/>
      <x:c r="N13" s="579"/>
    </x:row>
    <x:row r="14" ht="35.599998474121094" customHeight="1">
      <x:c r="A14" s="4"/>
      <x:c r="B14" s="5"/>
      <x:c r="C14" s="451" t="s">
        <x:v>915</x:v>
      </x:c>
      <x:c r="D14" s="450" t="s">
        <x:v>916</x:v>
      </x:c>
      <x:c r="E14" s="450" t="s">
        <x:v>917</x:v>
      </x:c>
      <x:c r="F14" s="450" t="s">
        <x:v>918</x:v>
      </x:c>
      <x:c r="G14" s="450" t="s">
        <x:v>919</x:v>
      </x:c>
      <x:c r="H14" s="450" t="str">
        <x:v>Inputs tab — physical project assumptions</x:v>
      </x:c>
      <x:c r="I14" s="579"/>
      <x:c r="J14" s="579"/>
      <x:c r="K14" s="579"/>
      <x:c r="L14" s="579"/>
      <x:c r="M14" s="579"/>
      <x:c r="N14" s="579"/>
    </x:row>
    <x:row r="15" ht="35.599998474121094" customHeight="1">
      <x:c r="A15" s="4"/>
      <x:c r="B15" s="5"/>
      <x:c r="C15" s="454" t="s">
        <x:v>920</x:v>
      </x:c>
      <x:c r="D15" s="453" t="s">
        <x:v>921</x:v>
      </x:c>
      <x:c r="E15" s="453" t="s">
        <x:v>922</x:v>
      </x:c>
      <x:c r="F15" s="453" t="s">
        <x:v>918</x:v>
      </x:c>
      <x:c r="G15" s="453" t="s">
        <x:v>923</x:v>
      </x:c>
      <x:c r="H15" s="453" t="str">
        <x:v>Inputs tab — property underwriting assumptions</x:v>
      </x:c>
      <x:c r="I15" s="579"/>
      <x:c r="J15" s="579"/>
      <x:c r="K15" s="579"/>
      <x:c r="L15" s="579"/>
      <x:c r="M15" s="579"/>
      <x:c r="N15" s="579"/>
    </x:row>
    <x:row r="16" ht="35.599998474121094" customHeight="1">
      <x:c r="A16" s="4"/>
      <x:c r="B16" s="5"/>
      <x:c r="C16" s="451" t="s">
        <x:v>924</x:v>
      </x:c>
      <x:c r="D16" s="450" t="s">
        <x:v>925</x:v>
      </x:c>
      <x:c r="E16" s="450" t="s">
        <x:v>926</x:v>
      </x:c>
      <x:c r="F16" s="450" t="s">
        <x:v>918</x:v>
      </x:c>
      <x:c r="G16" s="450" t="s">
        <x:v>927</x:v>
      </x:c>
      <x:c r="H16" s="450" t="str">
        <x:v>Inputs tab — optional computing assumptions</x:v>
      </x:c>
      <x:c r="I16" s="579"/>
      <x:c r="J16" s="579"/>
      <x:c r="K16" s="579"/>
      <x:c r="L16" s="579"/>
      <x:c r="M16" s="579"/>
      <x:c r="N16" s="579"/>
    </x:row>
    <x:row r="17" ht="35.599998474121094" customHeight="1">
      <x:c r="A17" s="4"/>
      <x:c r="B17" s="5"/>
      <x:c r="C17" s="454" t="s">
        <x:v>928</x:v>
      </x:c>
      <x:c r="D17" s="453" t="s">
        <x:v>929</x:v>
      </x:c>
      <x:c r="E17" s="453" t="s">
        <x:v>930</x:v>
      </x:c>
      <x:c r="F17" s="453" t="s">
        <x:v>931</x:v>
      </x:c>
      <x:c r="G17" s="453" t="s">
        <x:v>932</x:v>
      </x:c>
      <x:c r="H17" s="453" t="s">
        <x:v>933</x:v>
      </x:c>
      <x:c r="I17" s="579"/>
      <x:c r="J17" s="579"/>
      <x:c r="K17" s="579"/>
      <x:c r="L17" s="579"/>
      <x:c r="M17" s="579"/>
      <x:c r="N17" s="579"/>
    </x:row>
    <x:row r="18" ht="35.599998474121094" customHeight="1">
      <x:c r="A18" s="4"/>
      <x:c r="B18" s="5"/>
      <x:c r="C18" s="451" t="s">
        <x:v>934</x:v>
      </x:c>
      <x:c r="D18" s="450" t="s">
        <x:v>935</x:v>
      </x:c>
      <x:c r="E18" s="450" t="s">
        <x:v>936</x:v>
      </x:c>
      <x:c r="F18" s="450" t="s">
        <x:v>931</x:v>
      </x:c>
      <x:c r="G18" s="450" t="s">
        <x:v>937</x:v>
      </x:c>
      <x:c r="H18" s="450" t="s">
        <x:v>938</x:v>
      </x:c>
      <x:c r="I18" s="579"/>
      <x:c r="J18" s="579"/>
      <x:c r="K18" s="579"/>
      <x:c r="L18" s="579"/>
      <x:c r="M18" s="579"/>
      <x:c r="N18" s="579"/>
    </x:row>
    <x:row r="19" ht="35.599998474121094" customHeight="1">
      <x:c r="A19" s="4"/>
      <x:c r="B19" s="5"/>
      <x:c r="C19" s="454" t="s">
        <x:v>939</x:v>
      </x:c>
      <x:c r="D19" s="453" t="s">
        <x:v>940</x:v>
      </x:c>
      <x:c r="E19" s="453" t="s">
        <x:v>941</x:v>
      </x:c>
      <x:c r="F19" s="453" t="s">
        <x:v>931</x:v>
      </x:c>
      <x:c r="G19" s="453" t="s">
        <x:v>942</x:v>
      </x:c>
      <x:c r="H19" s="453" t="s">
        <x:v>943</x:v>
      </x:c>
      <x:c r="I19" s="579"/>
      <x:c r="J19" s="579"/>
      <x:c r="K19" s="579"/>
      <x:c r="L19" s="579"/>
      <x:c r="M19" s="579"/>
      <x:c r="N19" s="579"/>
    </x:row>
    <x:row r="20" ht="35.599998474121094" customHeight="1">
      <x:c r="A20" s="4"/>
      <x:c r="B20" s="5"/>
      <x:c r="C20" s="451" t="s">
        <x:v>944</x:v>
      </x:c>
      <x:c r="D20" s="450" t="s">
        <x:v>945</x:v>
      </x:c>
      <x:c r="E20" s="450" t="s">
        <x:v>946</x:v>
      </x:c>
      <x:c r="F20" s="450" t="s">
        <x:v>931</x:v>
      </x:c>
      <x:c r="G20" s="450" t="s">
        <x:v>947</x:v>
      </x:c>
      <x:c r="H20" s="450" t="s">
        <x:v>948</x:v>
      </x:c>
      <x:c r="I20" s="579"/>
      <x:c r="J20" s="579"/>
      <x:c r="K20" s="579"/>
      <x:c r="L20" s="579"/>
      <x:c r="M20" s="579"/>
      <x:c r="N20" s="579"/>
    </x:row>
    <x:row r="21" ht="35.599998474121094" customHeight="1">
      <x:c r="A21" s="4"/>
      <x:c r="B21" s="5"/>
      <x:c r="C21" s="454" t="s">
        <x:v>949</x:v>
      </x:c>
      <x:c r="D21" s="453" t="s">
        <x:v>950</x:v>
      </x:c>
      <x:c r="E21" s="453" t="s">
        <x:v>951</x:v>
      </x:c>
      <x:c r="F21" s="453" t="s">
        <x:v>931</x:v>
      </x:c>
      <x:c r="G21" s="453" t="s">
        <x:v>952</x:v>
      </x:c>
      <x:c r="H21" s="453" t="s">
        <x:v>953</x:v>
      </x:c>
      <x:c r="I21" s="579"/>
      <x:c r="J21" s="579"/>
      <x:c r="K21" s="579"/>
      <x:c r="L21" s="579"/>
      <x:c r="M21" s="579"/>
      <x:c r="N21" s="579"/>
    </x:row>
    <x:row r="22" ht="35.599998474121094" customHeight="1">
      <x:c r="A22" s="4"/>
      <x:c r="B22" s="5"/>
      <x:c r="C22" s="451" t="s">
        <x:v>954</x:v>
      </x:c>
      <x:c r="D22" s="450" t="s">
        <x:v>955</x:v>
      </x:c>
      <x:c r="E22" s="450" t="s">
        <x:v>956</x:v>
      </x:c>
      <x:c r="F22" s="450" t="s">
        <x:v>931</x:v>
      </x:c>
      <x:c r="G22" s="450" t="s">
        <x:v>957</x:v>
      </x:c>
      <x:c r="H22" s="450" t="s">
        <x:v>958</x:v>
      </x:c>
      <x:c r="I22" s="579"/>
      <x:c r="J22" s="579"/>
      <x:c r="K22" s="579"/>
      <x:c r="L22" s="579"/>
      <x:c r="M22" s="579"/>
      <x:c r="N22" s="579"/>
    </x:row>
    <x:row r="23" ht="35.599998474121094" customHeight="1">
      <x:c r="A23" s="4"/>
      <x:c r="B23" s="5"/>
      <x:c r="C23" s="454" t="s">
        <x:v>959</x:v>
      </x:c>
      <x:c r="D23" s="453" t="s">
        <x:v>960</x:v>
      </x:c>
      <x:c r="E23" s="453" t="s">
        <x:v>961</x:v>
      </x:c>
      <x:c r="F23" s="453" t="s">
        <x:v>931</x:v>
      </x:c>
      <x:c r="G23" s="453" t="s">
        <x:v>962</x:v>
      </x:c>
      <x:c r="H23" s="453" t="s">
        <x:v>963</x:v>
      </x:c>
      <x:c r="I23" s="579"/>
      <x:c r="J23" s="579"/>
      <x:c r="K23" s="579"/>
      <x:c r="L23" s="579"/>
      <x:c r="M23" s="579"/>
      <x:c r="N23" s="579"/>
    </x:row>
    <x:row r="24" ht="35.599998474121094" customHeight="1">
      <x:c r="A24" s="4"/>
      <x:c r="B24" s="5"/>
      <x:c r="C24" s="451" t="s">
        <x:v>964</x:v>
      </x:c>
      <x:c r="D24" s="450" t="s">
        <x:v>965</x:v>
      </x:c>
      <x:c r="E24" s="450" t="s">
        <x:v>966</x:v>
      </x:c>
      <x:c r="F24" s="450" t="s">
        <x:v>931</x:v>
      </x:c>
      <x:c r="G24" s="450" t="s">
        <x:v>967</x:v>
      </x:c>
      <x:c r="H24" s="450" t="s">
        <x:v>968</x:v>
      </x:c>
      <x:c r="I24" s="579"/>
      <x:c r="J24" s="579"/>
      <x:c r="K24" s="579"/>
      <x:c r="L24" s="579"/>
      <x:c r="M24" s="579"/>
      <x:c r="N24" s="579"/>
    </x:row>
    <x:row r="25" ht="35.599998474121094" customHeight="1">
      <x:c r="A25" s="4"/>
      <x:c r="B25" s="5"/>
      <x:c r="C25" s="454" t="s">
        <x:v>969</x:v>
      </x:c>
      <x:c r="D25" s="453" t="s">
        <x:v>970</x:v>
      </x:c>
      <x:c r="E25" s="453" t="s">
        <x:v>971</x:v>
      </x:c>
      <x:c r="F25" s="453" t="s">
        <x:v>972</x:v>
      </x:c>
      <x:c r="G25" s="453" t="s">
        <x:v>973</x:v>
      </x:c>
      <x:c r="H25" s="453" t="s">
        <x:v>974</x:v>
      </x:c>
      <x:c r="I25" s="579"/>
      <x:c r="J25" s="579"/>
      <x:c r="K25" s="579"/>
      <x:c r="L25" s="579"/>
      <x:c r="M25" s="579"/>
      <x:c r="N25" s="579"/>
    </x:row>
    <x:row r="26" ht="48.45000076293945" customHeight="1">
      <x:c r="A26" s="4"/>
      <x:c r="B26" s="5"/>
      <x:c r="C26" s="451" t="s">
        <x:v>975</x:v>
      </x:c>
      <x:c r="D26" s="450" t="s">
        <x:v>976</x:v>
      </x:c>
      <x:c r="E26" s="450" t="s">
        <x:v>977</x:v>
      </x:c>
      <x:c r="F26" s="450" t="s">
        <x:v>978</x:v>
      </x:c>
      <x:c r="G26" s="450" t="s">
        <x:v>979</x:v>
      </x:c>
      <x:c r="H26" s="450" t="s">
        <x:v>980</x:v>
      </x:c>
      <x:c r="I26" s="579"/>
      <x:c r="J26" s="579"/>
      <x:c r="K26" s="579"/>
      <x:c r="L26" s="579"/>
      <x:c r="M26" s="579"/>
      <x:c r="N26" s="579"/>
    </x:row>
    <x:row r="27" ht="35.599998474121094" customHeight="1">
      <x:c r="A27" s="4"/>
      <x:c r="B27" s="5"/>
      <x:c r="C27" s="454" t="s">
        <x:v>981</x:v>
      </x:c>
      <x:c r="D27" s="453" t="s">
        <x:v>982</x:v>
      </x:c>
      <x:c r="E27" s="453" t="s">
        <x:v>983</x:v>
      </x:c>
      <x:c r="F27" s="453" t="s">
        <x:v>984</x:v>
      </x:c>
      <x:c r="G27" s="453" t="s">
        <x:v>985</x:v>
      </x:c>
      <x:c r="H27" s="453" t="s">
        <x:v>986</x:v>
      </x:c>
      <x:c r="I27" s="579"/>
      <x:c r="J27" s="579"/>
      <x:c r="K27" s="579"/>
      <x:c r="L27" s="579"/>
      <x:c r="M27" s="579"/>
      <x:c r="N27" s="579"/>
    </x:row>
    <x:row r="28" ht="35.599998474121094" customHeight="1">
      <x:c r="A28" s="4"/>
      <x:c r="B28" s="5"/>
      <x:c r="C28" s="451" t="s">
        <x:v>987</x:v>
      </x:c>
      <x:c r="D28" s="450" t="s">
        <x:v>988</x:v>
      </x:c>
      <x:c r="E28" s="450" t="s">
        <x:v>989</x:v>
      </x:c>
      <x:c r="F28" s="450" t="s">
        <x:v>990</x:v>
      </x:c>
      <x:c r="G28" s="450" t="s">
        <x:v>991</x:v>
      </x:c>
      <x:c r="H28" s="450" t="s">
        <x:v>992</x:v>
      </x:c>
      <x:c r="I28" s="579"/>
      <x:c r="J28" s="579"/>
      <x:c r="K28" s="579"/>
      <x:c r="L28" s="579"/>
      <x:c r="M28" s="579"/>
      <x:c r="N28" s="579"/>
    </x:row>
    <x:row r="29" ht="35.599998474121094" customHeight="1">
      <x:c r="A29" s="4"/>
      <x:c r="B29" s="5"/>
      <x:c r="C29" s="454" t="s">
        <x:v>993</x:v>
      </x:c>
      <x:c r="D29" s="453" t="s">
        <x:v>994</x:v>
      </x:c>
      <x:c r="E29" s="453" t="inlineStr">
        <x:is>
          <x:t xml:space="preserve">Nebius June 30 2026: current $114.9m, non-current $1,510.4m, total $1,625.3m; $12,054.1m future uncommenced leases (undiscounted).</x:t>
        </x:is>
      </x:c>
      <x:c r="F29" s="453" t="s">
        <x:v>995</x:v>
      </x:c>
      <x:c r="G29" s="453" t="inlineStr">
        <x:is>
          <x:t xml:space="preserve">Q2 2026 Exhibit 99.2 Note 8 reconciles current, total and future uncommenced leases.</x:t>
        </x:is>
      </x:c>
      <x:c r="H29" s="453" t="inlineStr">
        <x:is>
          <x:t xml:space="preserve">https://www.sec.gov/Archives/edgar/data/1513845/000110465926094844/nbis-20260812xex99d2.htm</x:t>
        </x:is>
      </x:c>
      <x:c r="I29" s="579"/>
      <x:c r="J29" s="579"/>
      <x:c r="K29" s="579"/>
      <x:c r="L29" s="579"/>
      <x:c r="M29" s="579"/>
      <x:c r="N29" s="579"/>
    </x:row>
    <x:row r="30" ht="35.599998474121094" customHeight="1">
      <x:c r="A30" s="4"/>
      <x:c r="B30" s="5"/>
      <x:c r="C30" s="451" t="s">
        <x:v>996</x:v>
      </x:c>
      <x:c r="D30" s="450" t="s">
        <x:v>997</x:v>
      </x:c>
      <x:c r="E30" s="450" t="s">
        <x:v>998</x:v>
      </x:c>
      <x:c r="F30" s="450" t="s">
        <x:v>999</x:v>
      </x:c>
      <x:c r="G30" s="450" t="s">
        <x:v>1000</x:v>
      </x:c>
      <x:c r="H30" s="450" t="s">
        <x:v>1001</x:v>
      </x:c>
      <x:c r="I30" s="579"/>
      <x:c r="J30" s="579"/>
      <x:c r="K30" s="579"/>
      <x:c r="L30" s="579"/>
      <x:c r="M30" s="579"/>
      <x:c r="N30" s="579"/>
    </x:row>
    <x:row r="31" ht="48.45000076293945" customHeight="1">
      <x:c r="A31" s="4"/>
      <x:c r="B31" s="5"/>
      <x:c r="C31" s="454" t="s">
        <x:v>1002</x:v>
      </x:c>
      <x:c r="D31" s="453" t="s">
        <x:v>1003</x:v>
      </x:c>
      <x:c r="E31" s="453" t="s">
        <x:v>1004</x:v>
      </x:c>
      <x:c r="F31" s="453" t="s">
        <x:v>1005</x:v>
      </x:c>
      <x:c r="G31" s="453" t="s">
        <x:v>1006</x:v>
      </x:c>
      <x:c r="H31" s="453" t="s">
        <x:v>1007</x:v>
      </x:c>
      <x:c r="I31" s="579"/>
      <x:c r="J31" s="579"/>
      <x:c r="K31" s="579"/>
      <x:c r="L31" s="579"/>
      <x:c r="M31" s="579"/>
      <x:c r="N31" s="579"/>
    </x:row>
    <x:row r="32" ht="35.599998474121094" customHeight="1">
      <x:c r="A32" s="4"/>
      <x:c r="B32" s="5"/>
      <x:c r="C32" s="451" t="s">
        <x:v>1008</x:v>
      </x:c>
      <x:c r="D32" s="450" t="s">
        <x:v>1009</x:v>
      </x:c>
      <x:c r="E32" s="450" t="s">
        <x:v>1010</x:v>
      </x:c>
      <x:c r="F32" s="450" t="s">
        <x:v>892</x:v>
      </x:c>
      <x:c r="G32" s="450" t="s">
        <x:v>1011</x:v>
      </x:c>
      <x:c r="H32" s="450" t="s">
        <x:v>1012</x:v>
      </x:c>
      <x:c r="I32" s="579"/>
      <x:c r="J32" s="579"/>
      <x:c r="K32" s="579"/>
      <x:c r="L32" s="579"/>
      <x:c r="M32" s="579"/>
      <x:c r="N32" s="579"/>
    </x:row>
    <x:row r="33" ht="35.599998474121094" customHeight="1">
      <x:c r="A33" s="4"/>
      <x:c r="B33" s="5"/>
      <x:c r="C33" s="454" t="s">
        <x:v>1013</x:v>
      </x:c>
      <x:c r="D33" s="453" t="s">
        <x:v>1014</x:v>
      </x:c>
      <x:c r="E33" s="453" t="s">
        <x:v>1015</x:v>
      </x:c>
      <x:c r="F33" s="453" t="s">
        <x:v>892</x:v>
      </x:c>
      <x:c r="G33" s="453" t="s">
        <x:v>1016</x:v>
      </x:c>
      <x:c r="H33" s="453" t="s">
        <x:v>1017</x:v>
      </x:c>
      <x:c r="I33" s="579"/>
      <x:c r="J33" s="579"/>
      <x:c r="K33" s="579"/>
      <x:c r="L33" s="579"/>
      <x:c r="M33" s="579"/>
      <x:c r="N33" s="579"/>
    </x:row>
    <x:row r="34" ht="35.599998474121094" customHeight="1">
      <x:c r="A34" s="4"/>
      <x:c r="B34" s="5"/>
      <x:c r="C34" s="451" t="s">
        <x:v>1018</x:v>
      </x:c>
      <x:c r="D34" s="450" t="s">
        <x:v>1019</x:v>
      </x:c>
      <x:c r="E34" s="450" t="s">
        <x:v>1020</x:v>
      </x:c>
      <x:c r="F34" s="450" t="s">
        <x:v>1021</x:v>
      </x:c>
      <x:c r="G34" s="450" t="s">
        <x:v>1022</x:v>
      </x:c>
      <x:c r="H34" s="450" t="s">
        <x:v>1023</x:v>
      </x:c>
      <x:c r="I34" s="579"/>
      <x:c r="J34" s="579"/>
      <x:c r="K34" s="579"/>
      <x:c r="L34" s="579"/>
      <x:c r="M34" s="579"/>
      <x:c r="N34" s="579"/>
    </x:row>
    <x:row r="35" ht="35.599998474121094" customHeight="1">
      <x:c r="A35" s="4"/>
      <x:c r="B35" s="5"/>
      <x:c r="C35" s="454" t="s">
        <x:v>1024</x:v>
      </x:c>
      <x:c r="D35" s="453" t="s">
        <x:v>1025</x:v>
      </x:c>
      <x:c r="E35" s="453" t="s">
        <x:v>1026</x:v>
      </x:c>
      <x:c r="F35" s="453" t="s">
        <x:v>1027</x:v>
      </x:c>
      <x:c r="G35" s="453" t="s">
        <x:v>1028</x:v>
      </x:c>
      <x:c r="H35" s="453" t="s">
        <x:v>1029</x:v>
      </x:c>
      <x:c r="I35" s="579"/>
      <x:c r="J35" s="579"/>
      <x:c r="K35" s="579"/>
      <x:c r="L35" s="579"/>
      <x:c r="M35" s="579"/>
      <x:c r="N35" s="579"/>
    </x:row>
    <x:row r="36" ht="35.599998474121094" customHeight="1">
      <x:c r="A36" s="4"/>
      <x:c r="B36" s="5"/>
      <x:c r="C36" s="451" t="s">
        <x:v>1030</x:v>
      </x:c>
      <x:c r="D36" s="450" t="s">
        <x:v>1031</x:v>
      </x:c>
      <x:c r="E36" s="450" t="s">
        <x:v>1032</x:v>
      </x:c>
      <x:c r="F36" s="450" t="s">
        <x:v>1033</x:v>
      </x:c>
      <x:c r="G36" s="450" t="s">
        <x:v>1034</x:v>
      </x:c>
      <x:c r="H36" s="450" t="s">
        <x:v>1035</x:v>
      </x:c>
      <x:c r="I36" s="579"/>
      <x:c r="J36" s="579"/>
      <x:c r="K36" s="579"/>
      <x:c r="L36" s="579"/>
      <x:c r="M36" s="579"/>
      <x:c r="N36" s="579"/>
    </x:row>
    <x:row r="37" ht="35.599998474121094" customHeight="1">
      <x:c r="A37" s="4"/>
      <x:c r="B37" s="5"/>
      <x:c r="C37" s="454" t="s">
        <x:v>1036</x:v>
      </x:c>
      <x:c r="D37" s="453" t="s">
        <x:v>1037</x:v>
      </x:c>
      <x:c r="E37" s="453" t="s">
        <x:v>1038</x:v>
      </x:c>
      <x:c r="F37" s="453" t="s">
        <x:v>1039</x:v>
      </x:c>
      <x:c r="G37" s="453" t="s">
        <x:v>1040</x:v>
      </x:c>
      <x:c r="H37" s="453" t="s">
        <x:v>1041</x:v>
      </x:c>
      <x:c r="I37" s="579"/>
      <x:c r="J37" s="579"/>
      <x:c r="K37" s="579"/>
      <x:c r="L37" s="579"/>
      <x:c r="M37" s="579"/>
      <x:c r="N37" s="579"/>
    </x:row>
    <x:row r="38" ht="35.599998474121094" customHeight="1">
      <x:c r="A38" s="4"/>
      <x:c r="B38" s="5"/>
      <x:c r="C38" s="451" t="s">
        <x:v>1042</x:v>
      </x:c>
      <x:c r="D38" s="450" t="s">
        <x:v>1043</x:v>
      </x:c>
      <x:c r="E38" s="450" t="s">
        <x:v>1044</x:v>
      </x:c>
      <x:c r="F38" s="450" t="s">
        <x:v>1045</x:v>
      </x:c>
      <x:c r="G38" s="450" t="s">
        <x:v>1046</x:v>
      </x:c>
      <x:c r="H38" s="450" t="s">
        <x:v>1047</x:v>
      </x:c>
      <x:c r="I38" s="579"/>
      <x:c r="J38" s="579"/>
      <x:c r="K38" s="579"/>
      <x:c r="L38" s="579"/>
      <x:c r="M38" s="579"/>
      <x:c r="N38" s="579"/>
    </x:row>
    <x:row r="39" ht="35.599998474121094" customHeight="1">
      <x:c r="A39" s="4"/>
      <x:c r="B39" s="5"/>
      <x:c r="C39" s="454" t="s">
        <x:v>1048</x:v>
      </x:c>
      <x:c r="D39" s="453" t="str">
        <x:v>GII 10MW Underwriting — historical model lineage</x:v>
      </x:c>
      <x:c r="E39" s="453" t="str">
        <x:v>Current model name is stable. The original teaching model remains an internal historical source; do not cite an old public file version.</x:v>
      </x:c>
      <x:c r="F39" s="453" t="s">
        <x:v>1049</x:v>
      </x:c>
      <x:c r="G39" s="453" t="s">
        <x:v>1050</x:v>
      </x:c>
      <x:c r="H39" s="453" t="str">
        <x:v>GII 10MW Underwriting.xlsx</x:v>
      </x:c>
      <x:c r="I39" s="579"/>
      <x:c r="J39" s="579"/>
      <x:c r="K39" s="579"/>
      <x:c r="L39" s="579"/>
      <x:c r="M39" s="579"/>
      <x:c r="N39" s="579"/>
    </x:row>
    <x:row r="40" ht="9" customHeight="1">
      <x:c r="A40" s="4"/>
      <x:c r="B40" s="5"/>
      <x:c r="C40" s="454"/>
      <x:c r="D40" s="453"/>
      <x:c r="E40" s="453"/>
      <x:c r="F40" s="453"/>
      <x:c r="G40" s="453"/>
      <x:c r="H40" s="453"/>
      <x:c r="I40" s="579"/>
      <x:c r="J40" s="579"/>
      <x:c r="K40" s="579"/>
      <x:c r="L40" s="579"/>
      <x:c r="M40" s="579"/>
      <x:c r="N40" s="579"/>
    </x:row>
    <x:row r="41" ht="26.049999237060547" customHeight="1">
      <x:c r="A41" s="4"/>
      <x:c r="B41" s="5"/>
      <x:c r="C41" s="641" t="s">
        <x:v>1051</x:v>
      </x:c>
      <x:c r="D41" s="642"/>
      <x:c r="E41" s="642"/>
      <x:c r="F41" s="642"/>
      <x:c r="G41" s="642"/>
      <x:c r="H41" s="642"/>
      <x:c r="I41" s="579"/>
      <x:c r="J41" s="579"/>
      <x:c r="K41" s="579"/>
      <x:c r="L41" s="579"/>
      <x:c r="M41" s="579"/>
      <x:c r="N41" s="579"/>
    </x:row>
    <x:row r="42" ht="22.200000762939453" customHeight="1">
      <x:c r="A42" s="4"/>
      <x:c r="B42" s="5"/>
      <x:c r="C42" s="621" t="s">
        <x:v>1052</x:v>
      </x:c>
      <x:c r="D42" s="453"/>
      <x:c r="E42" s="453"/>
      <x:c r="F42" s="453"/>
      <x:c r="G42" s="453"/>
      <x:c r="H42" s="453"/>
      <x:c r="I42" s="579"/>
      <x:c r="J42" s="579"/>
      <x:c r="K42" s="579"/>
      <x:c r="L42" s="579"/>
      <x:c r="M42" s="579"/>
      <x:c r="N42" s="579"/>
    </x:row>
    <x:row r="43" ht="22.200000762939453" customHeight="1">
      <x:c r="A43" s="4"/>
      <x:c r="B43" s="5"/>
      <x:c r="C43" s="621" t="s">
        <x:v>1053</x:v>
      </x:c>
      <x:c r="D43" s="453"/>
      <x:c r="E43" s="453"/>
      <x:c r="F43" s="453"/>
      <x:c r="G43" s="453"/>
      <x:c r="H43" s="453"/>
      <x:c r="I43" s="579"/>
      <x:c r="J43" s="579"/>
      <x:c r="K43" s="579"/>
      <x:c r="L43" s="579"/>
      <x:c r="M43" s="579"/>
      <x:c r="N43" s="579"/>
    </x:row>
    <x:row r="44" ht="9" customHeight="1">
      <x:c r="A44" s="4"/>
      <x:c r="B44" s="5"/>
      <x:c r="C44" s="454"/>
      <x:c r="D44" s="453"/>
      <x:c r="E44" s="453"/>
      <x:c r="F44" s="453"/>
      <x:c r="G44" s="453"/>
      <x:c r="H44" s="453"/>
      <x:c r="I44" s="579"/>
      <x:c r="J44" s="579"/>
      <x:c r="K44" s="579"/>
      <x:c r="L44" s="579"/>
      <x:c r="M44" s="579"/>
      <x:c r="N44" s="579"/>
    </x:row>
    <x:row r="45" ht="9" customHeight="1">
      <x:c r="A45" s="4"/>
      <x:c r="B45" s="5"/>
      <x:c r="C45" s="454"/>
      <x:c r="D45" s="453"/>
      <x:c r="E45" s="453"/>
      <x:c r="F45" s="453"/>
      <x:c r="G45" s="453"/>
      <x:c r="H45" s="453"/>
      <x:c r="I45" s="579"/>
      <x:c r="J45" s="579"/>
      <x:c r="K45" s="579"/>
      <x:c r="L45" s="579"/>
      <x:c r="M45" s="579"/>
      <x:c r="N45" s="579"/>
    </x:row>
    <x:row r="46" ht="61.20000076293945" customHeight="1">
      <x:c r="A46" s="4"/>
      <x:c r="B46" s="5"/>
      <x:c r="C46" s="451" t="s">
        <x:v>1054</x:v>
      </x:c>
      <x:c r="D46" s="450" t="s">
        <x:v>1055</x:v>
      </x:c>
      <x:c r="E46" s="450" t="s">
        <x:v>1056</x:v>
      </x:c>
      <x:c r="F46" s="450" t="s">
        <x:v>1057</x:v>
      </x:c>
      <x:c r="G46" s="450" t="s">
        <x:v>1058</x:v>
      </x:c>
      <x:c r="H46" s="450" t="s">
        <x:v>1059</x:v>
      </x:c>
      <x:c r="I46" s="579"/>
      <x:c r="J46" s="579"/>
      <x:c r="K46" s="579"/>
      <x:c r="L46" s="579"/>
      <x:c r="M46" s="579"/>
      <x:c r="N46" s="579"/>
    </x:row>
    <x:row r="47" ht="48.45000076293945" customHeight="1">
      <x:c r="A47" s="4"/>
      <x:c r="B47" s="5"/>
      <x:c r="C47" s="454" t="s">
        <x:v>1060</x:v>
      </x:c>
      <x:c r="D47" s="453" t="s">
        <x:v>1061</x:v>
      </x:c>
      <x:c r="E47" s="453" t="s">
        <x:v>1062</x:v>
      </x:c>
      <x:c r="F47" s="453" t="s">
        <x:v>1063</x:v>
      </x:c>
      <x:c r="G47" s="453" t="s">
        <x:v>1064</x:v>
      </x:c>
      <x:c r="H47" s="453" t="s">
        <x:v>1065</x:v>
      </x:c>
      <x:c r="I47" s="579"/>
      <x:c r="J47" s="579"/>
      <x:c r="K47" s="579"/>
      <x:c r="L47" s="579"/>
      <x:c r="M47" s="579"/>
      <x:c r="N47" s="579"/>
    </x:row>
    <x:row r="48" ht="48.45000076293945" customHeight="1">
      <x:c r="A48" s="4"/>
      <x:c r="B48" s="5"/>
      <x:c r="C48" s="451" t="s">
        <x:v>1066</x:v>
      </x:c>
      <x:c r="D48" s="450" t="s">
        <x:v>1067</x:v>
      </x:c>
      <x:c r="E48" s="450" t="s">
        <x:v>1068</x:v>
      </x:c>
      <x:c r="F48" s="450" t="s">
        <x:v>1069</x:v>
      </x:c>
      <x:c r="G48" s="450" t="s">
        <x:v>1070</x:v>
      </x:c>
      <x:c r="H48" s="450" t="s">
        <x:v>1071</x:v>
      </x:c>
      <x:c r="I48" s="579"/>
      <x:c r="J48" s="579"/>
      <x:c r="K48" s="579"/>
      <x:c r="L48" s="579"/>
      <x:c r="M48" s="579"/>
      <x:c r="N48" s="579"/>
    </x:row>
    <x:row r="49" ht="9" customHeight="1">
      <x:c r="A49" s="4"/>
      <x:c r="B49" s="5"/>
      <x:c r="C49" s="454"/>
      <x:c r="D49" s="453"/>
      <x:c r="E49" s="453"/>
      <x:c r="F49" s="453"/>
      <x:c r="G49" s="453"/>
      <x:c r="H49" s="453"/>
      <x:c r="I49" s="579"/>
      <x:c r="J49" s="579"/>
      <x:c r="K49" s="579"/>
      <x:c r="L49" s="579"/>
      <x:c r="M49" s="579"/>
      <x:c r="N49" s="579"/>
    </x:row>
    <x:row r="50" ht="34.29999923706055" customHeight="1">
      <x:c r="A50" s="7"/>
      <x:c r="B50" s="8"/>
      <x:c r="C50" s="621" t="s">
        <x:v>1072</x:v>
      </x:c>
      <x:c r="D50" s="453"/>
      <x:c r="E50" s="453"/>
      <x:c r="F50" s="453"/>
      <x:c r="G50" s="453"/>
      <x:c r="H50" s="453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 ht="75" customHeight="1">
      <x:c r="C52" s="437" t="str">
        <x:v>S19</x:v>
      </x:c>
      <x:c r="D52" s="441" t="str">
        <x:v>Development Yield-on-Cost. CRE Glossary.</x:v>
      </x:c>
      <x:c r="E52" s="441" t="str">
        <x:v>Method reference added for this edition: stabilized NOI relative to total project costs.</x:v>
      </x:c>
      <x:c r="F52" s="441" t="str">
        <x:v>n.d.</x:v>
      </x:c>
      <x:c r="G52" s="441" t="str">
        <x:v>Method definition only; no project assumptions imported.</x:v>
      </x:c>
      <x:c r="H52" s="441" t="str">
        <x:v>https://www.walkerdunlop.com/glossary-terms/development-yield-on-cost</x:v>
      </x:c>
      <x:c r="I52" s="579"/>
      <x:c r="J52" s="579"/>
      <x:c r="K52" s="579"/>
      <x:c r="L52" s="579"/>
      <x:c r="M52" s="579"/>
      <x:c r="N52" s="579"/>
    </x:row>
    <x:row r="53" ht="75" customHeight="1">
      <x:c r="C53" s="437" t="str">
        <x:v>S20</x:v>
      </x:c>
      <x:c r="D53" s="441" t="str">
        <x:v>SEGRO and Pure Data Centres Group announce joint venture to develop a c.£1bn fully fitted data centre.</x:v>
      </x:c>
      <x:c r="E53" s="441" t="str">
        <x:v>Method comparison added: published yield-on-cost excludes finance cost, unlike this paper’s including-finance convention.</x:v>
      </x:c>
      <x:c r="F53" s="441" t="str">
        <x:v>March 25, 2025</x:v>
      </x:c>
      <x:c r="G53" s="441" t="str">
        <x:v>Method definition only; no project assumptions imported.</x:v>
      </x:c>
      <x:c r="H53" s="441" t="str">
        <x:v>https://www.segro.com/media/news/2025/250325-segro-and-pure-data-centres-group-announce-joint-venture-to-develop-a-c-1bn-fully-fitted-data-centre</x:v>
      </x:c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 ht="25" customHeight="1">
      <x:c r="C55" s="805" t="str">
        <x:v>FULL BIBLIOGRAPHY | PUBLICATION SOURCES</x:v>
      </x:c>
      <x:c r="D55" s="807"/>
      <x:c r="E55" s="807"/>
      <x:c r="F55" s="807"/>
      <x:c r="G55" s="807"/>
      <x:c r="H55" s="807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 ht="24" customHeight="1">
      <x:c r="C57" s="410" t="str">
        <x:v>Entry</x:v>
      </x:c>
      <x:c r="D57" s="414" t="str">
        <x:v>Author / organization</x:v>
      </x:c>
      <x:c r="E57" s="414" t="str">
        <x:v>Full title</x:v>
      </x:c>
      <x:c r="F57" s="414" t="str">
        <x:v>Date</x:v>
      </x:c>
      <x:c r="G57" s="414" t="str">
        <x:v>Use / limitation</x:v>
      </x:c>
      <x:c r="H57" s="414" t="str">
        <x:v>Source URL</x:v>
      </x:c>
      <x:c r="I57" s="579"/>
      <x:c r="J57" s="579"/>
      <x:c r="K57" s="579"/>
      <x:c r="L57" s="579"/>
      <x:c r="M57" s="579"/>
      <x:c r="N57" s="579"/>
    </x:row>
    <x:row r="58" ht="76" customHeight="1">
      <x:c r="C58" s="437" t="str">
        <x:v>1</x:v>
      </x:c>
      <x:c r="D58" s="441" t="str">
        <x:v>Global Innovation Institute</x:v>
      </x:c>
      <x:c r="E58" s="441" t="str">
        <x:v>GII 10MW Underwriting [Excel teaching model]</x:v>
      </x:c>
      <x:c r="F58" s="441" t="str">
        <x:v>2026</x:v>
      </x:c>
      <x:c r="G58" s="441" t="str">
        <x:v>Hypothetical landlord development and optional computing case. Model assumptions are not actual project terms.</x:v>
      </x:c>
      <x:c r="H58" s="441" t="str">
        <x:v>No public URL established</x:v>
      </x:c>
      <x:c r="I58" s="579"/>
      <x:c r="J58" s="579"/>
      <x:c r="K58" s="579"/>
      <x:c r="L58" s="579"/>
      <x:c r="M58" s="579"/>
      <x:c r="N58" s="579"/>
    </x:row>
    <x:row r="59" ht="76" customHeight="1">
      <x:c r="C59" s="437" t="str">
        <x:v>2</x:v>
      </x:c>
      <x:c r="D59" s="441" t="str">
        <x:v>Lee, C. / Global Innovation Institute</x:v>
      </x:c>
      <x:c r="E59" s="441" t="str">
        <x:v>CRE Asia Restaurant 100™: The 100 Leading Asian Restaurant Systems in the United States. Founding Research Paper.</x:v>
      </x:c>
      <x:c r="F59" s="441" t="str">
        <x:v>August 21, 2026</x:v>
      </x:c>
      <x:c r="G59" s="441" t="str">
        <x:v>Earlier GII publication; GII identity, measurement discipline, evidence confidence and explanatory exhibits.</x:v>
      </x:c>
      <x:c r="H59" s="441" t="str">
        <x:v>No public URL established</x:v>
      </x:c>
      <x:c r="I59" s="579"/>
      <x:c r="J59" s="579"/>
      <x:c r="K59" s="579"/>
      <x:c r="L59" s="579"/>
      <x:c r="M59" s="579"/>
      <x:c r="N59" s="579"/>
    </x:row>
    <x:row r="60" ht="76" customHeight="1">
      <x:c r="C60" s="437" t="str">
        <x:v>3</x:v>
      </x:c>
      <x:c r="D60" s="441" t="str">
        <x:v>Lee, C. / Global Innovation Institute</x:v>
      </x:c>
      <x:c r="E60" s="441" t="str">
        <x:v>HF Foods Group Inc. (NASDAQ: HFFG): A differentiated national Asian-foodservice network—but not yet a durable cash-economics story. GII Initial Coverage.</x:v>
      </x:c>
      <x:c r="F60" s="441" t="str">
        <x:v>August 5, 2026</x:v>
      </x:c>
      <x:c r="G60" s="441" t="str">
        <x:v>Earlier GII publication; investment debate and cash-conversion framework. No rating or holdings declaration is transferred.</x:v>
      </x:c>
      <x:c r="H60" s="441" t="str">
        <x:v>No public URL established</x:v>
      </x:c>
      <x:c r="I60" s="579"/>
      <x:c r="J60" s="579"/>
      <x:c r="K60" s="579"/>
      <x:c r="L60" s="579"/>
      <x:c r="M60" s="579"/>
      <x:c r="N60" s="579"/>
    </x:row>
    <x:row r="61" ht="76" customHeight="1">
      <x:c r="C61" s="437" t="str">
        <x:v>4</x:v>
      </x:c>
      <x:c r="D61" s="441" t="str">
        <x:v>Lee, C. / Global Innovation Institute</x:v>
      </x:c>
      <x:c r="E61" s="441" t="str">
        <x:v>CRE Model Portfolio™ Construction Paper: Inaugural Founding Document.</x:v>
      </x:c>
      <x:c r="F61" s="441" t="str">
        <x:v>2026</x:v>
      </x:c>
      <x:c r="G61" s="441" t="str">
        <x:v>Earlier GII publication; Testing Beta inception August 1, 2026. Inception date is not an independently established publication date.</x:v>
      </x:c>
      <x:c r="H61" s="441" t="str">
        <x:v>No public URL established</x:v>
      </x:c>
      <x:c r="I61" s="579"/>
      <x:c r="J61" s="579"/>
      <x:c r="K61" s="579"/>
      <x:c r="L61" s="579"/>
      <x:c r="M61" s="579"/>
      <x:c r="N61" s="579"/>
    </x:row>
    <x:row r="62" ht="76" customHeight="1">
      <x:c r="C62" s="437" t="str">
        <x:v>5</x:v>
      </x:c>
      <x:c r="D62" s="441" t="str">
        <x:v>Lee, C. / Global Innovation Institute</x:v>
      </x:c>
      <x:c r="E62" s="441" t="str">
        <x:v>China Restaurant Empire Quarterly, Edition No. 1.</x:v>
      </x:c>
      <x:c r="F62" s="441" t="str">
        <x:v>2026-Q3</x:v>
      </x:c>
      <x:c r="G62" s="441" t="str">
        <x:v>Earlier GII publication; information cutoff July 11, 2026. Economic architecture and denominator discipline.</x:v>
      </x:c>
      <x:c r="H62" s="441" t="str">
        <x:v>No public URL established</x:v>
      </x:c>
      <x:c r="I62" s="579"/>
      <x:c r="J62" s="579"/>
      <x:c r="K62" s="579"/>
      <x:c r="L62" s="579"/>
      <x:c r="M62" s="579"/>
      <x:c r="N62" s="579"/>
    </x:row>
    <x:row r="63" ht="76" customHeight="1">
      <x:c r="C63" s="437" t="str">
        <x:v>6</x:v>
      </x:c>
      <x:c r="D63" s="441" t="str">
        <x:v>Global Innovation Institute</x:v>
      </x:c>
      <x:c r="E63" s="441" t="str">
        <x:v>Valley101 Alignment 2026—The Gigawatt Race: Boom, Debt, and the Cost of AI. Expanded Review.</x:v>
      </x:c>
      <x:c r="F63" s="441" t="str">
        <x:v>2026</x:v>
      </x:c>
      <x:c r="G63" s="441" t="str">
        <x:v>Unpublished GII field report; event October 11, 2026; relevant pp. 17–26 and 44–47. Attributed speaker observations; not audio-verified.</x:v>
      </x:c>
      <x:c r="H63" s="441" t="str">
        <x:v>No public URL established</x:v>
      </x:c>
      <x:c r="I63" s="579"/>
      <x:c r="J63" s="579"/>
      <x:c r="K63" s="579"/>
      <x:c r="L63" s="579"/>
      <x:c r="M63" s="579"/>
      <x:c r="N63" s="579"/>
    </x:row>
    <x:row r="64" ht="76" customHeight="1">
      <x:c r="C64" s="437" t="str">
        <x:v>7</x:v>
      </x:c>
      <x:c r="D64" s="441" t="str">
        <x:v>Global Innovation Institute</x:v>
      </x:c>
      <x:c r="E64" s="441" t="str">
        <x:v>Sohn San Francisco 2026—Franklin Parlamis: Bilingual Research Report.</x:v>
      </x:c>
      <x:c r="F64" s="441" t="str">
        <x:v>2026</x:v>
      </x:c>
      <x:c r="G64" s="441" t="str">
        <x:v>Unpublished GII field report; event October 13, 2026; relevant pp. 16–20 and 30–34. Credit questions, not a landlord rating.</x:v>
      </x:c>
      <x:c r="H64" s="441" t="str">
        <x:v>No public URL established</x:v>
      </x:c>
      <x:c r="I64" s="579"/>
      <x:c r="J64" s="579"/>
      <x:c r="K64" s="579"/>
      <x:c r="L64" s="579"/>
      <x:c r="M64" s="579"/>
      <x:c r="N64" s="579"/>
    </x:row>
    <x:row r="65" ht="76" customHeight="1">
      <x:c r="C65" s="437" t="str">
        <x:v>8</x:v>
      </x:c>
      <x:c r="D65" s="441" t="str">
        <x:v>Global Innovation Institute</x:v>
      </x:c>
      <x:c r="E65" s="441" t="str">
        <x:v>Data Center Real Estate Training Library—Cervantes Lee.</x:v>
      </x:c>
      <x:c r="F65" s="441" t="str">
        <x:v>October 2026</x:v>
      </x:c>
      <x:c r="G65" s="441" t="str">
        <x:v>GII curriculum and source index. A source roadmap, not a measured market dataset.</x:v>
      </x:c>
      <x:c r="H65" s="441" t="str">
        <x:v>No public URL established</x:v>
      </x:c>
      <x:c r="I65" s="579"/>
      <x:c r="J65" s="579"/>
      <x:c r="K65" s="579"/>
      <x:c r="L65" s="579"/>
      <x:c r="M65" s="579"/>
      <x:c r="N65" s="579"/>
    </x:row>
    <x:row r="66" ht="76" customHeight="1">
      <x:c r="C66" s="437" t="str">
        <x:v>9</x:v>
      </x:c>
      <x:c r="D66" s="441" t="str">
        <x:v>Cui, L.</x:v>
      </x:c>
      <x:c r="E66" s="441" t="str">
        <x:v>The State of the AI Data Center 2026: Demand, delivery and the economics of the AI data-center build-out.</x:v>
      </x:c>
      <x:c r="F66" s="441" t="str">
        <x:v>October 2026</x:v>
      </x:c>
      <x:c r="G66" s="441" t="str">
        <x:v>Research publication; cutoff October 5, 2026. Evidence classification and comparability; not a replacement for underlying filings.</x:v>
      </x:c>
      <x:c r="H66" s="441" t="str">
        <x:v>No public URL established</x:v>
      </x:c>
      <x:c r="I66" s="579"/>
      <x:c r="J66" s="579"/>
      <x:c r="K66" s="579"/>
      <x:c r="L66" s="579"/>
      <x:c r="M66" s="579"/>
      <x:c r="N66" s="579"/>
    </x:row>
    <x:row r="67" ht="76" customHeight="1">
      <x:c r="C67" s="437" t="str">
        <x:v>10</x:v>
      </x:c>
      <x:c r="D67" s="441" t="str">
        <x:v>Goldman Sachs Global Investment Research</x:v>
      </x:c>
      <x:c r="E67" s="441" t="str">
        <x:v>GS SUSTAIN: AI/Data Center Power Demand—How rising hyperscaler reinvestment impacts the 6 Ps driving power growth/constraints.</x:v>
      </x:c>
      <x:c r="F67" s="441" t="str">
        <x:v>February 23, 2026</x:v>
      </x:c>
      <x:c r="G67" s="441" t="str">
        <x:v>Redacted Goldman Sachs client research; framework and reinvestment definitions only. Company forecasts are not imported into the model.</x:v>
      </x:c>
      <x:c r="H67" s="441" t="str">
        <x:v>No public URL established</x:v>
      </x:c>
      <x:c r="I67" s="579"/>
      <x:c r="J67" s="579"/>
      <x:c r="K67" s="579"/>
      <x:c r="L67" s="579"/>
      <x:c r="M67" s="579"/>
      <x:c r="N67" s="579"/>
    </x:row>
    <x:row r="68" ht="76" customHeight="1">
      <x:c r="C68" s="437" t="str">
        <x:v>11</x:v>
      </x:c>
      <x:c r="D68" s="441" t="str">
        <x:v>Goldman Sachs Global Investment Research</x:v>
      </x:c>
      <x:c r="E68" s="441" t="str">
        <x:v>GS SUSTAIN: AI/Data Centers—Power demand, cyclical progression and Sustainability implications.</x:v>
      </x:c>
      <x:c r="F68" s="441" t="str">
        <x:v>August 6, 2026</x:v>
      </x:c>
      <x:c r="G68" s="441" t="str">
        <x:v>Redacted Goldman Sachs client research; physical environment, execution and capital-cycle questions. No publisher endorsement.</x:v>
      </x:c>
      <x:c r="H68" s="441" t="str">
        <x:v>No public URL established</x:v>
      </x:c>
      <x:c r="I68" s="579"/>
      <x:c r="J68" s="579"/>
      <x:c r="K68" s="579"/>
      <x:c r="L68" s="579"/>
      <x:c r="M68" s="579"/>
      <x:c r="N68" s="579"/>
    </x:row>
    <x:row r="69" ht="76" customHeight="1">
      <x:c r="C69" s="437" t="str">
        <x:v>12</x:v>
      </x:c>
      <x:c r="D69" s="441" t="str">
        <x:v>Silicon Valley Power</x:v>
      </x:c>
      <x:c r="E69" s="441" t="str">
        <x:v>Rates and fees.</x:v>
      </x:c>
      <x:c r="F69" s="441" t="str">
        <x:v>n.d.</x:v>
      </x:c>
      <x:c r="G69" s="441" t="str">
        <x:v>Model records a January 2026 effective class-average rate; not a parcel-specific tariff. Dynamic webpage.</x:v>
      </x:c>
      <x:c r="H69" s="441" t="str">
        <x:v>https://www.siliconvalleypower.com/businesses/rates-and-fees</x:v>
      </x:c>
      <x:c r="I69" s="579"/>
      <x:c r="J69" s="579"/>
      <x:c r="K69" s="579"/>
      <x:c r="L69" s="579"/>
      <x:c r="M69" s="579"/>
      <x:c r="N69" s="579"/>
    </x:row>
    <x:row r="70" ht="76" customHeight="1">
      <x:c r="C70" s="437" t="str">
        <x:v>13</x:v>
      </x:c>
      <x:c r="D70" s="441" t="str">
        <x:v>CBRE</x:v>
      </x:c>
      <x:c r="E70" s="441" t="str">
        <x:v>Silicon Valley data center demand continues to outpace supply, causing vacancy to fall further and rents to rise.</x:v>
      </x:c>
      <x:c r="F70" s="441" t="str">
        <x:v>September 1, 2026</x:v>
      </x:c>
      <x:c r="G70" s="441" t="str">
        <x:v>H1 2026 market observations carried in the source ledger. Asking rent is not an executed 10 MW lease.</x:v>
      </x:c>
      <x:c r="H70" s="441" t="str">
        <x:v>https://www.cbre.com/press-releases/silicon-valley-data-center-demand-continues-outpace-supply-causing-vacancy-fall-further-rents-rise</x:v>
      </x:c>
      <x:c r="I70" s="579"/>
      <x:c r="J70" s="579"/>
      <x:c r="K70" s="579"/>
      <x:c r="L70" s="579"/>
      <x:c r="M70" s="579"/>
      <x:c r="N70" s="579"/>
    </x:row>
    <x:row r="71" ht="76" customHeight="1">
      <x:c r="C71" s="437" t="str">
        <x:v>14</x:v>
      </x:c>
      <x:c r="D71" s="441" t="str">
        <x:v>CBRE</x:v>
      </x:c>
      <x:c r="E71" s="441" t="str">
        <x:v>North America Data Center Trends H1 2026.</x:v>
      </x:c>
      <x:c r="F71" s="441" t="str">
        <x:v>August 27, 2026</x:v>
      </x:c>
      <x:c r="G71" s="441" t="str">
        <x:v>Eight-primary-market wholesale universe. Construction, inventory and commitment shares have separate meanings.</x:v>
      </x:c>
      <x:c r="H71" s="441" t="str">
        <x:v>https://www.cbre.com/insights/books/north-america-data-center-trends-h1-2026</x:v>
      </x:c>
      <x:c r="I71" s="579"/>
      <x:c r="J71" s="579"/>
      <x:c r="K71" s="579"/>
      <x:c r="L71" s="579"/>
      <x:c r="M71" s="579"/>
      <x:c r="N71" s="579"/>
    </x:row>
    <x:row r="72" ht="76" customHeight="1">
      <x:c r="C72" s="437" t="str">
        <x:v>15</x:v>
      </x:c>
      <x:c r="D72" s="441" t="str">
        <x:v>CBRE</x:v>
      </x:c>
      <x:c r="E72" s="441" t="str">
        <x:v>North American data center demand continues to outpace supply despite record construction activity.</x:v>
      </x:c>
      <x:c r="F72" s="441" t="str">
        <x:v>August 27, 2026, as recorded</x:v>
      </x:c>
      <x:c r="G72" s="441" t="str">
        <x:v>Ledger date retained. Local table values and the recorded prose/unit inconsistency remain qualified; no silent reconciliation.</x:v>
      </x:c>
      <x:c r="H72" s="441" t="str">
        <x:v>https://www.cbre.com/press-releases/north-american-data-center-demand-continues-to-outpace-supply-despite-record-construction</x:v>
      </x:c>
      <x:c r="I72" s="579"/>
      <x:c r="J72" s="579"/>
      <x:c r="K72" s="579"/>
      <x:c r="L72" s="579"/>
      <x:c r="M72" s="579"/>
      <x:c r="N72" s="579"/>
    </x:row>
    <x:row r="73" ht="76" customHeight="1">
      <x:c r="C73" s="437" t="str">
        <x:v>16</x:v>
      </x:c>
      <x:c r="D73" s="441" t="str">
        <x:v>JLL</x:v>
      </x:c>
      <x:c r="E73" s="441" t="str">
        <x:v>North America Data Center Report Midyear 2026: Navigating historic growth and community acceptance.</x:v>
      </x:c>
      <x:c r="F73" s="441" t="str">
        <x:v>August 11, 2026</x:v>
      </x:c>
      <x:c r="G73" s="441" t="str">
        <x:v>Broader North American coverage. Not additive to CBRE’s differently defined construction universe.</x:v>
      </x:c>
      <x:c r="H73" s="441" t="str">
        <x:v>https://www.jll.com/en-us/insights/market-dynamics/north-america-data-centers</x:v>
      </x:c>
      <x:c r="I73" s="579"/>
      <x:c r="J73" s="579"/>
      <x:c r="K73" s="579"/>
      <x:c r="L73" s="579"/>
      <x:c r="M73" s="579"/>
      <x:c r="N73" s="579"/>
    </x:row>
    <x:row r="74" ht="76" customHeight="1">
      <x:c r="C74" s="437" t="str">
        <x:v>17</x:v>
      </x:c>
      <x:c r="D74" s="441" t="str">
        <x:v>JLL</x:v>
      </x:c>
      <x:c r="E74" s="441" t="str">
        <x:v>Data center sector enters hyperdrive as Texas prepares to dethrone Virginia as global leader.</x:v>
      </x:c>
      <x:c r="F74" s="441" t="str">
        <x:v>February 17, 2026</x:v>
      </x:c>
      <x:c r="G74" s="441" t="str">
        <x:v>Year-end 2025 coverage context. Publication date and period measured are different.</x:v>
      </x:c>
      <x:c r="H74" s="441" t="str">
        <x:v>https://www.jll.com/en-us/newsroom/jll-north-america-data-center-report-year-end-2025</x:v>
      </x:c>
      <x:c r="I74" s="579"/>
      <x:c r="J74" s="579"/>
      <x:c r="K74" s="579"/>
      <x:c r="L74" s="579"/>
      <x:c r="M74" s="579"/>
      <x:c r="N74" s="579"/>
    </x:row>
    <x:row r="75" ht="76" customHeight="1">
      <x:c r="C75" s="437" t="str">
        <x:v>18</x:v>
      </x:c>
      <x:c r="D75" s="441" t="str">
        <x:v>Google Data Centers</x:v>
      </x:c>
      <x:c r="E75" s="441" t="str">
        <x:v>Power usage effectiveness.</x:v>
      </x:c>
      <x:c r="F75" s="441" t="str">
        <x:v>n.d.</x:v>
      </x:c>
      <x:c r="G75" s="441" t="str">
        <x:v>Measurement boundary for facility energy / IT energy. The model’s 1.36 is a GII teaching assumption.</x:v>
      </x:c>
      <x:c r="H75" s="441" t="str">
        <x:v>https://datacenters.google/efficiency/</x:v>
      </x:c>
      <x:c r="I75" s="579"/>
      <x:c r="J75" s="579"/>
      <x:c r="K75" s="579"/>
      <x:c r="L75" s="579"/>
      <x:c r="M75" s="579"/>
      <x:c r="N75" s="579"/>
    </x:row>
    <x:row r="76" ht="76" customHeight="1">
      <x:c r="C76" s="437" t="str">
        <x:v>19</x:v>
      </x:c>
      <x:c r="D76" s="441" t="str">
        <x:v>NVIDIA</x:v>
      </x:c>
      <x:c r="E76" s="441" t="str">
        <x:v>Hardware. NVIDIA DGX GB Rack Scale Systems User Guide.</x:v>
      </x:c>
      <x:c r="F76" s="441" t="str">
        <x:v>2026</x:v>
      </x:c>
      <x:c r="G76" s="441" t="str">
        <x:v>Architecture-specific rack context. Not a universal MW-to-GPU conversion or a server-price quotation.</x:v>
      </x:c>
      <x:c r="H76" s="441" t="str">
        <x:v>https://docs.nvidia.com/dgx/dgxgb200-user-guide/hardware.html</x:v>
      </x:c>
      <x:c r="I76" s="579"/>
      <x:c r="J76" s="579"/>
      <x:c r="K76" s="579"/>
      <x:c r="L76" s="579"/>
      <x:c r="M76" s="579"/>
      <x:c r="N76" s="579"/>
    </x:row>
    <x:row r="77" ht="76" customHeight="1">
      <x:c r="C77" s="437" t="str">
        <x:v>20</x:v>
      </x:c>
      <x:c r="D77" s="441" t="str">
        <x:v>U.S. Environmental Protection Agency</x:v>
      </x:c>
      <x:c r="E77" s="441" t="str">
        <x:v>Clean Air Act resources for data centers.</x:v>
      </x:c>
      <x:c r="F77" s="441" t="str">
        <x:v>n.d.</x:v>
      </x:c>
      <x:c r="G77" s="441" t="str">
        <x:v>Permitting source index; not a conclusion that a hypothetical parcel has obtained the approvals it needs.</x:v>
      </x:c>
      <x:c r="H77" s="441" t="str">
        <x:v>https://www.epa.gov/stationary-sources-air-pollution/clean-air-act-resources-data-centers</x:v>
      </x:c>
      <x:c r="I77" s="579"/>
      <x:c r="J77" s="579"/>
      <x:c r="K77" s="579"/>
      <x:c r="L77" s="579"/>
      <x:c r="M77" s="579"/>
      <x:c r="N77" s="579"/>
    </x:row>
    <x:row r="78" ht="76" customHeight="1">
      <x:c r="C78" s="437" t="str">
        <x:v>21</x:v>
      </x:c>
      <x:c r="D78" s="441" t="str">
        <x:v>Core Scientific, Inc.</x:v>
      </x:c>
      <x:c r="E78" s="441" t="str">
        <x:v>Form 10-Q for the quarter ended June 30, 2026.</x:v>
      </x:c>
      <x:c r="F78" s="441" t="str">
        <x:v>2026</x:v>
      </x:c>
      <x:c r="G78" s="441" t="str">
        <x:v>One filing supports both power pass-through and capacity-status examples. Former ledger entries S04/S05 refer to this same document.</x:v>
      </x:c>
      <x:c r="H78" s="441" t="str">
        <x:v>https://investors.corescientific.com/sec-filings/all-sec-filings/content/0001839341-26-000014/core-20260630.htm</x:v>
      </x:c>
      <x:c r="I78" s="579"/>
      <x:c r="J78" s="579"/>
      <x:c r="K78" s="579"/>
      <x:c r="L78" s="579"/>
      <x:c r="M78" s="579"/>
      <x:c r="N78" s="579"/>
    </x:row>
    <x:row r="79" ht="76" customHeight="1">
      <x:c r="C79" s="437" t="str">
        <x:v>22</x:v>
      </x:c>
      <x:c r="D79" s="441" t="str">
        <x:v>CoreWeave, Inc.</x:v>
      </x:c>
      <x:c r="E79" s="441" t="str">
        <x:v>Form 10-Q for the quarter ended June 30, 2026.</x:v>
      </x:c>
      <x:c r="F79" s="441" t="str">
        <x:v>2026</x:v>
      </x:c>
      <x:c r="G79" s="441" t="str">
        <x:v>Consolidated issuer data and lease obligations, not a particular lease obligor or guarantee.</x:v>
      </x:c>
      <x:c r="H79" s="441" t="str">
        <x:v>https://www.sec.gov/Archives/edgar/data/1769628/000176962826000366/crwv-20260630.htm</x:v>
      </x:c>
      <x:c r="I79" s="579"/>
      <x:c r="J79" s="579"/>
      <x:c r="K79" s="579"/>
      <x:c r="L79" s="579"/>
      <x:c r="M79" s="579"/>
      <x:c r="N79" s="579"/>
    </x:row>
    <x:row r="80" ht="76" customHeight="1">
      <x:c r="C80" s="437" t="str">
        <x:v>23</x:v>
      </x:c>
      <x:c r="D80" s="441" t="str">
        <x:v>Nebius Group N.V.</x:v>
      </x:c>
      <x:c r="E80" s="441" t="str">
        <x:v>Nebius reports second quarter 2026 financial results. Exhibit 99.1.</x:v>
      </x:c>
      <x:c r="F80" s="441" t="str">
        <x:v>August 12, 2026</x:v>
      </x:c>
      <x:c r="G80" s="441" t="str">
        <x:v>June 30, 2026 reporting period. Non-current leases are not treated as a reconciled total.</x:v>
      </x:c>
      <x:c r="H80" s="441" t="str">
        <x:v>https://www.sec.gov/Archives/edgar/data/1513845/000110465926094568/tm2622968d1_ex99-1.htm</x:v>
      </x:c>
      <x:c r="I80" s="579"/>
      <x:c r="J80" s="579"/>
      <x:c r="K80" s="579"/>
      <x:c r="L80" s="579"/>
      <x:c r="M80" s="579"/>
      <x:c r="N80" s="579"/>
    </x:row>
    <x:row r="81" ht="76" customHeight="1">
      <x:c r="C81" s="437" t="str">
        <x:v>24</x:v>
      </x:c>
      <x:c r="D81" s="441" t="str">
        <x:v>Nebius Group N.V.</x:v>
      </x:c>
      <x:c r="E81" s="441" t="str">
        <x:v>Form 6-K: Infrastructure service agreement with Meta Platforms, Inc. [Descriptive filing title].</x:v>
      </x:c>
      <x:c r="F81" s="441" t="str">
        <x:v>March 16, 2026</x:v>
      </x:c>
      <x:c r="G81" s="441" t="str">
        <x:v>Conditional capacity arrangements. Not blanket support for every property lease.</x:v>
      </x:c>
      <x:c r="H81" s="441" t="str">
        <x:v>https://www.sec.gov/Archives/edgar/data/1513845/000110465926027886/tm268879d1_6k.htm</x:v>
      </x:c>
      <x:c r="I81" s="579"/>
      <x:c r="J81" s="579"/>
      <x:c r="K81" s="579"/>
      <x:c r="L81" s="579"/>
      <x:c r="M81" s="579"/>
      <x:c r="N81" s="579"/>
    </x:row>
    <x:row r="82" ht="76" customHeight="1">
      <x:c r="C82" s="437" t="str">
        <x:v>25</x:v>
      </x:c>
      <x:c r="D82" s="441" t="str">
        <x:v>Nebius Group N.V.</x:v>
      </x:c>
      <x:c r="E82" s="441" t="str">
        <x:v>Form 6-K: Senior secured asset-backed facility agreement [Descriptive filing title].</x:v>
      </x:c>
      <x:c r="F82" s="441" t="str">
        <x:v>July 17, 2026</x:v>
      </x:c>
      <x:c r="G82" s="441" t="str">
        <x:v>Subsequent-event financing context; not mechanically added to June balance-sheet debt.</x:v>
      </x:c>
      <x:c r="H82" s="441" t="str">
        <x:v>https://www.sec.gov/Archives/edgar/data/1513845/000110465926084452/tm2620683d1_6k.htm</x:v>
      </x:c>
      <x:c r="I82" s="579"/>
      <x:c r="J82" s="579"/>
      <x:c r="K82" s="579"/>
      <x:c r="L82" s="579"/>
      <x:c r="M82" s="579"/>
      <x:c r="N82" s="579"/>
    </x:row>
    <x:row r="83" ht="76" customHeight="1">
      <x:c r="C83" s="437" t="str">
        <x:v>26</x:v>
      </x:c>
      <x:c r="D83" s="441" t="str">
        <x:v>GMI Cloud</x:v>
      </x:c>
      <x:c r="E83" s="441" t="str">
        <x:v>About GMI Cloud.</x:v>
      </x:c>
      <x:c r="F83" s="441" t="str">
        <x:v>n.d.</x:v>
      </x:c>
      <x:c r="G83" s="441" t="str">
        <x:v>Company description; does not establish title to a particular parcel, lease terms or unrestricted cash.</x:v>
      </x:c>
      <x:c r="H83" s="441" t="str">
        <x:v>https://www.gmicloud.ai/en/company/about</x:v>
      </x:c>
      <x:c r="I83" s="579"/>
      <x:c r="J83" s="579"/>
      <x:c r="K83" s="579"/>
      <x:c r="L83" s="579"/>
      <x:c r="M83" s="579"/>
      <x:c r="N83" s="579"/>
    </x:row>
    <x:row r="84" ht="76" customHeight="1">
      <x:c r="C84" s="437" t="str">
        <x:v>27</x:v>
      </x:c>
      <x:c r="D84" s="441" t="str">
        <x:v>GMI Cloud / PR Newswire</x:v>
      </x:c>
      <x:c r="E84" s="441" t="str">
        <x:v>GMI Cloud raises over $660 million to accelerate global AI infrastructure expansion.</x:v>
      </x:c>
      <x:c r="F84" s="441" t="str">
        <x:v>October 1, 2026</x:v>
      </x:c>
      <x:c r="G84" s="441" t="str">
        <x:v>Company-issued release recorded in the model. Separate equity and the credit facility; undisclosed terms remain unknown.</x:v>
      </x:c>
      <x:c r="H84" s="441" t="str">
        <x:v>https://www.prnewswire.com/apac/news-releases/gmi-cloud-raises-over-660-million-to-accelerate-global-ai-infrastructure-expansion-302894628.html</x:v>
      </x:c>
      <x:c r="I84" s="579"/>
      <x:c r="J84" s="579"/>
      <x:c r="K84" s="579"/>
      <x:c r="L84" s="579"/>
      <x:c r="M84" s="579"/>
      <x:c r="N84" s="579"/>
    </x:row>
    <x:row r="85" ht="76" customHeight="1">
      <x:c r="C85" s="437" t="str">
        <x:v>28</x:v>
      </x:c>
      <x:c r="D85" s="441" t="str">
        <x:v>Global Innovation Institute</x:v>
      </x:c>
      <x:c r="E85" s="441" t="str">
        <x:v>Restaurant scale is an operating-system question, not a store-count question.</x:v>
      </x:c>
      <x:c r="F85" s="441" t="str">
        <x:v>n.d.</x:v>
      </x:c>
      <x:c r="G85" s="441" t="str">
        <x:v>Editorial and analytical reference; not data-center market evidence.</x:v>
      </x:c>
      <x:c r="H85" s="441" t="str">
        <x:v>https://www.giinow.org/research-notes/restaurant-scale-operating-system</x:v>
      </x:c>
      <x:c r="I85" s="579"/>
      <x:c r="J85" s="579"/>
      <x:c r="K85" s="579"/>
      <x:c r="L85" s="579"/>
      <x:c r="M85" s="579"/>
      <x:c r="N85" s="579"/>
    </x:row>
    <x:row r="86" ht="76" customHeight="1">
      <x:c r="C86" s="437" t="str">
        <x:v>29</x:v>
      </x:c>
      <x:c r="D86" s="441" t="str">
        <x:v>Walker &amp; Dunlop</x:v>
      </x:c>
      <x:c r="E86" s="441" t="str">
        <x:v>Development Yield-on-Cost. CRE Glossary.</x:v>
      </x:c>
      <x:c r="F86" s="441" t="str">
        <x:v>n.d.</x:v>
      </x:c>
      <x:c r="G86" s="441" t="str">
        <x:v>Method reference added for this edition: stabilized NOI relative to total project costs.</x:v>
      </x:c>
      <x:c r="H86" s="441" t="str">
        <x:v>https://www.walkerdunlop.com/glossary-terms/development-yield-on-cost</x:v>
      </x:c>
      <x:c r="I86" s="579"/>
      <x:c r="J86" s="579"/>
      <x:c r="K86" s="579"/>
      <x:c r="L86" s="579"/>
      <x:c r="M86" s="579"/>
      <x:c r="N86" s="579"/>
    </x:row>
    <x:row r="87" ht="76" customHeight="1">
      <x:c r="C87" s="437" t="str">
        <x:v>30</x:v>
      </x:c>
      <x:c r="D87" s="441" t="str">
        <x:v>SEGRO</x:v>
      </x:c>
      <x:c r="E87" s="441" t="str">
        <x:v>SEGRO and Pure Data Centres Group announce joint venture to develop a c.£1bn fully fitted data centre.</x:v>
      </x:c>
      <x:c r="F87" s="441" t="str">
        <x:v>March 25, 2025</x:v>
      </x:c>
      <x:c r="G87" s="441" t="str">
        <x:v>Method comparison added: published yield-on-cost excludes finance cost, unlike this paper’s including-finance convention.</x:v>
      </x:c>
      <x:c r="H87" s="441" t="str">
        <x:v>https://www.segro.com/media/news/2025/250325-segro-and-pure-data-centres-group-announce-joint-venture-to-develop-a-c-1bn-fully-fitted-data-centre</x:v>
      </x:c>
      <x:c r="I87" s="579"/>
      <x:c r="J87" s="579"/>
      <x:c r="K87" s="579"/>
      <x:c r="L87" s="579"/>
      <x:c r="M87" s="579"/>
      <x:c r="N87" s="579"/>
    </x:row>
    <x:row r="88">
      <x:c r="C88" s="556"/>
      <x:c r="D88" s="579"/>
      <x:c r="E88" s="579"/>
      <x:c r="F88" s="579"/>
      <x:c r="G88" s="579"/>
      <x:c r="H88" s="579"/>
      <x:c r="I88" s="579"/>
      <x:c r="J88" s="579"/>
      <x:c r="K88" s="579"/>
      <x:c r="L88" s="579"/>
      <x:c r="M88" s="579"/>
      <x:c r="N88" s="579"/>
    </x:row>
    <x:row r="89">
      <x:c r="C89" s="556"/>
      <x:c r="D89" s="579"/>
      <x:c r="E89" s="579"/>
      <x:c r="F89" s="579"/>
      <x:c r="G89" s="579"/>
      <x:c r="H89" s="579"/>
      <x:c r="I89" s="579"/>
      <x:c r="J89" s="579"/>
      <x:c r="K89" s="579"/>
      <x:c r="L89" s="579"/>
      <x:c r="M89" s="579"/>
      <x:c r="N89" s="579"/>
    </x:row>
    <x:row r="90">
      <x:c r="C90" s="556"/>
      <x:c r="D90" s="579"/>
      <x:c r="E90" s="579"/>
      <x:c r="F90" s="579"/>
      <x:c r="G90" s="579"/>
      <x:c r="H90" s="579"/>
      <x:c r="I90" s="579"/>
      <x:c r="J90" s="579"/>
      <x:c r="K90" s="579"/>
      <x:c r="L90" s="579"/>
      <x:c r="M90" s="579"/>
      <x:c r="N9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09  |  EVIDENCE &amp; SOURCING LEDGER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Which claims are sourced, assumed, or not yet established?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A source only supports a claim when its date, unit, geography and scope match the model.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28" customHeight="1">
      <x:c r="P210" s="594" t="str">
        <x:v>MEASURE / INVESTMENT QUESTION</x:v>
      </x:c>
      <x:c r="Q210" s="414" t="str">
        <x:v>VALUE / STATUS</x:v>
      </x:c>
      <x:c r="R210" s="414" t="str">
        <x:v>MODEL TAB / SOURCE</x:v>
      </x:c>
      <x:c r="S210" s="414" t="str">
        <x:v>UNDERWRITING INTERPRETATION</x:v>
      </x:c>
    </x:row>
    <x:row r="211" ht="30.219999313354492" hidden="0" customHeight="1">
      <x:c r="P211" s="597" t="str">
        <x:v>S01 SVP electricity reference</x:v>
      </x:c>
      <x:c r="Q211" s="1041" t="str">
        <x:f>"SOURCE"</x:f>
        <x:v>SOURCE</x:v>
      </x:c>
      <x:c r="R211" s="599" t="str">
        <x:v>Research tab</x:v>
      </x:c>
      <x:c r="S211" s="599" t="str">
        <x:v>CB-6 class-average $0.159/kWh; individual demand/energy and surcharges matter.</x:v>
      </x:c>
    </x:row>
    <x:row r="212" ht="30.219999313354492" hidden="0" customHeight="1">
      <x:c r="P212" s="509" t="str">
        <x:v>S02 Silicon Valley market context</x:v>
      </x:c>
      <x:c r="Q212" s="1042" t="str">
        <x:f>"SOURCE"</x:f>
        <x:v>SOURCE</x:v>
      </x:c>
      <x:c r="R212" s="510" t="str">
        <x:v>Research tab</x:v>
      </x:c>
      <x:c r="S212" s="510" t="str">
        <x:v>509.2 MW inventory; 4.2% vacancy; 22 MW H1 absorption; 144 MW construction; asking rents…</x:v>
      </x:c>
    </x:row>
    <x:row r="213" ht="30.219999313354492" hidden="0" customHeight="1">
      <x:c r="P213" s="597" t="str">
        <x:v>S03 PUE definition</x:v>
      </x:c>
      <x:c r="Q213" s="1041" t="str">
        <x:f>"SOURCE"</x:f>
        <x:v>SOURCE</x:v>
      </x:c>
      <x:c r="R213" s="599" t="str">
        <x:v>Research tab</x:v>
      </x:c>
      <x:c r="S213" s="599" t="str">
        <x:v>Google explains total-facility and IT-energy measurement boundaries.</x:v>
      </x:c>
    </x:row>
    <x:row r="214" ht="30.219999313354492" hidden="0" customHeight="1">
      <x:c r="P214" s="509" t="str">
        <x:v>S04 Power pass-through example</x:v>
      </x:c>
      <x:c r="Q214" s="1042" t="str">
        <x:f>"SOURCE"</x:f>
        <x:v>SOURCE</x:v>
      </x:c>
      <x:c r="R214" s="510" t="str">
        <x:v>Research tab</x:v>
      </x:c>
      <x:c r="S214" s="510" t="str">
        <x:v>Core Scientific reports electricity reimbursement without markup.</x:v>
      </x:c>
    </x:row>
    <x:row r="215" ht="30.219999313354492" hidden="0" customHeight="1">
      <x:c r="P215" s="597" t="str">
        <x:v>S05 Capacity-status example</x:v>
      </x:c>
      <x:c r="Q215" s="1041" t="str">
        <x:f>"SOURCE"</x:f>
        <x:v>SOURCE</x:v>
      </x:c>
      <x:c r="R215" s="599" t="str">
        <x:v>Research tab</x:v>
      </x:c>
      <x:c r="S215" s="599" t="str">
        <x:v>Core Scientific filing distinguishes leased and billed customer power.</x:v>
      </x:c>
    </x:row>
    <x:row r="216" ht="30.219999313354492" hidden="0" customHeight="1">
      <x:c r="P216" s="509" t="str">
        <x:v>S06 GMI business description</x:v>
      </x:c>
      <x:c r="Q216" s="1042" t="str">
        <x:f>"SOURCE"</x:f>
        <x:v>SOURCE</x:v>
      </x:c>
      <x:c r="R216" s="510" t="str">
        <x:v>Research tab</x:v>
      </x:c>
      <x:c r="S216" s="510" t="str">
        <x:v>Company describes a computing and inference technology platform.</x:v>
      </x:c>
    </x:row>
    <x:row r="217" ht="30.219999313354492" hidden="0" customHeight="1">
      <x:c r="P217" s="597" t="str">
        <x:v>S07 Rack-density reference</x:v>
      </x:c>
      <x:c r="Q217" s="1041" t="str">
        <x:f>"SOURCE"</x:f>
        <x:v>SOURCE</x:v>
      </x:c>
      <x:c r="R217" s="599" t="str">
        <x:v>Research tab</x:v>
      </x:c>
      <x:c r="S217" s="599" t="str">
        <x:v>DGX GB rack guide describes approximately 120 kW for the specified rack system.</x:v>
      </x:c>
    </x:row>
    <x:row r="218" ht="30.219999313354492" hidden="0" customHeight="1">
      <x:c r="P218" s="509" t="str">
        <x:v>S08 CBRE national universe</x:v>
      </x:c>
      <x:c r="Q218" s="1042" t="str">
        <x:f>"SOURCE"</x:f>
        <x:v>SOURCE</x:v>
      </x:c>
      <x:c r="R218" s="510" t="str">
        <x:v>Research tab</x:v>
      </x:c>
      <x:c r="S218" s="510" t="str">
        <x:v>10,903 MW operating; 7,481.1 MW construction; 1.4% vacancy; 80.4% preleased.</x:v>
      </x:c>
    </x:row>
    <x:row r="219" ht="30.219999313354492" hidden="0" customHeight="1">
      <x:c r="P219" s="597" t="str">
        <x:v>S09 CBRE local market inventory</x:v>
      </x:c>
      <x:c r="Q219" s="1041" t="str">
        <x:f>"SOURCE"</x:f>
        <x:v>SOURCE</x:v>
      </x:c>
      <x:c r="R219" s="599" t="str">
        <x:v>Research tab</x:v>
      </x:c>
      <x:c r="S219" s="599" t="str">
        <x:v>Market-level inventory and available capacity for eight primary markets.</x:v>
      </x:c>
    </x:row>
    <x:row r="220" ht="30.219999313354492" hidden="0" customHeight="1">
      <x:c r="P220" s="509" t="str">
        <x:v>S10 JLL broader market</x:v>
      </x:c>
      <x:c r="Q220" s="1042" t="str">
        <x:f>"SOURCE"</x:f>
        <x:v>SOURCE</x:v>
      </x:c>
      <x:c r="R220" s="510" t="str">
        <x:v>Research tab</x:v>
      </x:c>
      <x:c r="S220" s="510" t="str">
        <x:v>More than 66 GW under construction; 1% vacancy in its market coverage.</x:v>
      </x:c>
    </x:row>
    <x:row r="221" ht="30.219999313354492" hidden="0" customHeight="1">
      <x:c r="P221" s="597" t="str">
        <x:v>S11 CoreWeave financial filing</x:v>
      </x:c>
      <x:c r="Q221" s="1041" t="str">
        <x:f>"SOURCE"</x:f>
        <x:v>SOURCE</x:v>
      </x:c>
      <x:c r="R221" s="599" t="str">
        <x:v>Research tab</x:v>
      </x:c>
      <x:c r="S221" s="599" t="str">
        <x:v>Balance sheet, lease liabilities and noncommenced commitments.</x:v>
      </x:c>
    </x:row>
    <x:row r="222" ht="30.219999313354492" hidden="0" customHeight="1">
      <x:c r="P222" s="509" t="str">
        <x:v>S12 Nebius financial filing</x:v>
      </x:c>
      <x:c r="Q222" s="1042" t="str">
        <x:f>"SOURCE"</x:f>
        <x:v>SOURCE</x:v>
      </x:c>
      <x:c r="R222" s="510" t="str">
        <x:v>Research tab</x:v>
      </x:c>
      <x:c r="S222" s="510" t="str">
        <x:v>Balance sheet; 1,510.4m operating lease liability shown in non-current section.</x:v>
      </x:c>
    </x:row>
    <x:row r="223" ht="30.219999313354492" hidden="0" customHeight="1">
      <x:c r="P223" s="597" t="str">
        <x:v>S13 Nebius–Meta contract</x:v>
      </x:c>
      <x:c r="Q223" s="1041" t="str">
        <x:f>"SOURCE"</x:f>
        <x:v>SOURCE</x:v>
      </x:c>
      <x:c r="R223" s="599" t="str">
        <x:v>Research tab</x:v>
      </x:c>
      <x:c r="S223" s="599" t="str">
        <x:v>Conditional unsold-capacity order up to $15bn; five-year orders; delivery terms.</x:v>
      </x:c>
    </x:row>
    <x:row r="224" ht="30.219999313354492" hidden="0" customHeight="1">
      <x:c r="P224" s="509" t="str">
        <x:v>S14 GMI financing announcement</x:v>
      </x:c>
      <x:c r="Q224" s="1042" t="str">
        <x:f>"SOURCE"</x:f>
        <x:v>SOURCE</x:v>
      </x:c>
      <x:c r="R224" s="510" t="str">
        <x:v>Research tab</x:v>
      </x:c>
      <x:c r="S224" s="510" t="str">
        <x:v>$223m Series B equity + $445m CTBC-led credit facility = $668m announced.</x:v>
      </x:c>
    </x:row>
    <x:row r="225" ht="2" customHeight="1">
      <x:c r="P225" s="509"/>
      <x:c r="Q225" s="510"/>
      <x:c r="R225" s="510"/>
      <x:c r="S225" s="510"/>
    </x:row>
    <x:row r="226" ht="2" customHeight="1">
      <x:c r="P226" s="509"/>
      <x:c r="Q226" s="510"/>
      <x:c r="R226" s="510"/>
      <x:c r="S226" s="510"/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20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43:H43"/>
    <x:mergeCell ref="C50:H50"/>
    <x:mergeCell ref="C3:H3"/>
    <x:mergeCell ref="C4:H4"/>
    <x:mergeCell ref="C5:H5"/>
    <x:mergeCell ref="C41:H41"/>
    <x:mergeCell ref="C42:H42"/>
    <x:mergeCell ref="C55:H55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1073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1074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1075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1076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1077</x:v>
      </x:c>
      <x:c r="D12" s="980" t="s">
        <x:v>227</x:v>
      </x:c>
      <x:c r="E12" s="450" t="str">
        <x:v>Silicon Valley Power</x:v>
      </x:c>
      <x:c r="F12" s="450" t="s">
        <x:v>1078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1079</x:v>
      </x:c>
      <x:c r="D13" s="979" t="s">
        <x:v>227</x:v>
      </x:c>
      <x:c r="E13" s="453" t="str">
        <x:v>CBRE Silicon Valley</x:v>
      </x:c>
      <x:c r="F13" s="453" t="s">
        <x:v>1080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1081</x:v>
      </x:c>
      <x:c r="D14" s="980" t="s">
        <x:v>227</x:v>
      </x:c>
      <x:c r="E14" s="450" t="str">
        <x:v>Core Scientific filing</x:v>
      </x:c>
      <x:c r="F14" s="450" t="s">
        <x:v>1082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1083</x:v>
      </x:c>
      <x:c r="D15" s="979" t="s">
        <x:v>227</x:v>
      </x:c>
      <x:c r="E15" s="453" t="str">
        <x:v>NVIDIA hardware guide</x:v>
      </x:c>
      <x:c r="F15" s="453" t="s">
        <x:v>1084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1085</x:v>
      </x:c>
      <x:c r="D16" s="980" t="s">
        <x:v>227</x:v>
      </x:c>
      <x:c r="E16" s="450" t="str">
        <x:v>CBRE H1 2026</x:v>
      </x:c>
      <x:c r="F16" s="450" t="s">
        <x:v>1086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1087</x:v>
      </x:c>
      <x:c r="D17" s="979" t="s">
        <x:v>227</x:v>
      </x:c>
      <x:c r="E17" s="453" t="str">
        <x:v>JLL midyear 2026</x:v>
      </x:c>
      <x:c r="F17" s="453" t="s">
        <x:v>1088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1089</x:v>
      </x:c>
      <x:c r="D18" s="980" t="s">
        <x:v>227</x:v>
      </x:c>
      <x:c r="E18" s="450" t="str">
        <x:v>CoreWeave filing</x:v>
      </x:c>
      <x:c r="F18" s="450" t="s">
        <x:v>1090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1091</x:v>
      </x:c>
      <x:c r="D19" s="979" t="s">
        <x:v>227</x:v>
      </x:c>
      <x:c r="E19" s="453" t="str">
        <x:v>Nebius results</x:v>
      </x:c>
      <x:c r="F19" s="453" t="s">
        <x:v>1092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1093</x:v>
      </x:c>
      <x:c r="D20" s="980" t="s">
        <x:v>227</x:v>
      </x:c>
      <x:c r="E20" s="450" t="str">
        <x:v>GMI financing release</x:v>
      </x:c>
      <x:c r="F20" s="450" t="s">
        <x:v>1094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5" customHeight="1">
      <x:c r="A21" s="4"/>
      <x:c r="B21" s="5"/>
      <x:c r="C21" s="641" t="s">
        <x:v>1095</x:v>
      </x:c>
      <x:c r="D21" s="977"/>
      <x:c r="E21" s="642"/>
      <x:c r="F21" s="642"/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1096</x:v>
      </x:c>
      <x:c r="D22" s="980" t="s">
        <x:v>227</x:v>
      </x:c>
      <x:c r="E22" s="450" t="str">
        <x:v>Research tab</x:v>
      </x:c>
      <x:c r="F22" s="450" t="s">
        <x:v>1097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1098</x:v>
      </x:c>
      <x:c r="D23" s="979" t="s">
        <x:v>227</x:v>
      </x:c>
      <x:c r="E23" s="453" t="str">
        <x:v>Research tab</x:v>
      </x:c>
      <x:c r="F23" s="453" t="s">
        <x:v>1099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1100</x:v>
      </x:c>
      <x:c r="D24" s="980" t="s">
        <x:v>227</x:v>
      </x:c>
      <x:c r="E24" s="450" t="str">
        <x:v>Research tab</x:v>
      </x:c>
      <x:c r="F24" s="450" t="s">
        <x:v>1101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1102</x:v>
      </x:c>
      <x:c r="D25" s="979" t="s">
        <x:v>227</x:v>
      </x:c>
      <x:c r="E25" s="453" t="str">
        <x:v>Research tab</x:v>
      </x:c>
      <x:c r="F25" s="453" t="s">
        <x:v>1103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1104</x:v>
      </x:c>
      <x:c r="D26" s="980" t="s">
        <x:v>227</x:v>
      </x:c>
      <x:c r="E26" s="450" t="str">
        <x:v>Research tab</x:v>
      </x:c>
      <x:c r="F26" s="450" t="s">
        <x:v>1105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1106</x:v>
      </x:c>
      <x:c r="D27" s="979" t="s">
        <x:v>227</x:v>
      </x:c>
      <x:c r="E27" s="453" t="str">
        <x:v>Research tab</x:v>
      </x:c>
      <x:c r="F27" s="453" t="s">
        <x:v>1107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1108</x:v>
      </x:c>
      <x:c r="D28" s="980" t="s">
        <x:v>227</x:v>
      </x:c>
      <x:c r="E28" s="450" t="str">
        <x:v>Research tab</x:v>
      </x:c>
      <x:c r="F28" s="450" t="s">
        <x:v>1109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979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22.200000762939453" customHeight="1">
      <x:c r="A30" s="7"/>
      <x:c r="B30" s="8"/>
      <x:c r="C30" s="621" t="s">
        <x:v>233</x:v>
      </x:c>
      <x:c r="D30" s="979"/>
      <x:c r="E30" s="453"/>
      <x:c r="F30" s="453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09  |  EVIDENCE &amp; SOURCING LEDGER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Which claims are sourced, assumed, or not yet established?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A source only supports a claim when its date, unit, geography and scope match the model.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28" customHeight="1">
      <x:c r="P210" s="594" t="str">
        <x:v>MEASURE / INVESTMENT QUESTION</x:v>
      </x:c>
      <x:c r="Q210" s="414" t="str">
        <x:v>VALUE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PUBLISHED EVIDENCE | SELECT PRIMARY SOURCES</x:v>
      </x:c>
      <x:c r="Q211" s="1047"/>
      <x:c r="R211" s="685" t="str"/>
      <x:c r="S211" s="685" t="str"/>
    </x:row>
    <x:row r="212" ht="17.110000610351562" hidden="0" customHeight="1">
      <x:c r="P212" s="509" t="str">
        <x:v>SVP power rate</x:v>
      </x:c>
      <x:c r="Q212" s="1042" t="str">
        <x:v>SOURCE</x:v>
      </x:c>
      <x:c r="R212" s="510" t="str">
        <x:v>Silicon Valley Power</x:v>
      </x:c>
      <x:c r="S212" s="510" t="str">
        <x:v>Class-average rate is not an executed tariff.</x:v>
      </x:c>
    </x:row>
    <x:row r="213" ht="17.110000610351562" hidden="0" customHeight="1">
      <x:c r="P213" s="597" t="str">
        <x:v>CBRE Silicon Valley</x:v>
      </x:c>
      <x:c r="Q213" s="1041" t="str">
        <x:v>SOURCE</x:v>
      </x:c>
      <x:c r="R213" s="599" t="str">
        <x:v>CBRE Silicon Valley</x:v>
      </x:c>
      <x:c r="S213" s="599" t="str">
        <x:v>Inventory, vacancy and rents need scope/date.</x:v>
      </x:c>
    </x:row>
    <x:row r="214" ht="17.110000610351562" hidden="0" customHeight="1">
      <x:c r="P214" s="509" t="str">
        <x:v>Power pass-through precedent</x:v>
      </x:c>
      <x:c r="Q214" s="1042" t="str">
        <x:v>SOURCE</x:v>
      </x:c>
      <x:c r="R214" s="510" t="str">
        <x:v>Core Scientific filing</x:v>
      </x:c>
      <x:c r="S214" s="510" t="str">
        <x:v>Disclosed lease structure, not GMI's lease.</x:v>
      </x:c>
    </x:row>
    <x:row r="215" ht="17.110000610351562" hidden="0" customHeight="1">
      <x:c r="P215" s="597" t="str">
        <x:v>Rack density</x:v>
      </x:c>
      <x:c r="Q215" s="1041" t="str">
        <x:v>SOURCE</x:v>
      </x:c>
      <x:c r="R215" s="599" t="str">
        <x:v>NVIDIA hardware guide</x:v>
      </x:c>
      <x:c r="S215" s="599" t="str">
        <x:v>Architecture-specific, not a universal MW/SF.</x:v>
      </x:c>
    </x:row>
    <x:row r="216" ht="17.110000610351562" hidden="0" customHeight="1">
      <x:c r="P216" s="509" t="str">
        <x:v>CBRE primary markets</x:v>
      </x:c>
      <x:c r="Q216" s="1042" t="str">
        <x:v>SOURCE</x:v>
      </x:c>
      <x:c r="R216" s="510" t="str">
        <x:v>CBRE H1 2026</x:v>
      </x:c>
      <x:c r="S216" s="510" t="str">
        <x:v>Reported universe differs from JLL's.</x:v>
      </x:c>
    </x:row>
    <x:row r="217" ht="17.110000610351562" hidden="0" customHeight="1">
      <x:c r="P217" s="597" t="str">
        <x:v>JLL North America</x:v>
      </x:c>
      <x:c r="Q217" s="1041" t="str">
        <x:v>SOURCE</x:v>
      </x:c>
      <x:c r="R217" s="599" t="str">
        <x:v>JLL midyear 2026</x:v>
      </x:c>
      <x:c r="S217" s="599" t="str">
        <x:v>Broader construction universe; cannot sum to CBRE.</x:v>
      </x:c>
    </x:row>
    <x:row r="218" ht="17.110000610351562" hidden="0" customHeight="1">
      <x:c r="P218" s="509" t="str">
        <x:v>CoreWeave filings</x:v>
      </x:c>
      <x:c r="Q218" s="1042" t="str">
        <x:v>SOURCE</x:v>
      </x:c>
      <x:c r="R218" s="510" t="str">
        <x:v>CoreWeave filing</x:v>
      </x:c>
      <x:c r="S218" s="510" t="str">
        <x:v>Issuer balance sheet ≠ tenant-entity guarantee.</x:v>
      </x:c>
    </x:row>
    <x:row r="219" ht="17.110000610351562" hidden="0" customHeight="1">
      <x:c r="P219" s="597" t="str">
        <x:v>Nebius filings</x:v>
      </x:c>
      <x:c r="Q219" s="1041" t="str">
        <x:v>SOURCE</x:v>
      </x:c>
      <x:c r="R219" s="599" t="str">
        <x:v>Nebius results</x:v>
      </x:c>
      <x:c r="S219" s="599" t="str">
        <x:v>Reconcile current and non-current leases.</x:v>
      </x:c>
    </x:row>
    <x:row r="220" ht="17.110000610351562" hidden="0" customHeight="1">
      <x:c r="P220" s="509" t="str">
        <x:v>GMI financing release</x:v>
      </x:c>
      <x:c r="Q220" s="1042" t="str">
        <x:v>SOURCE</x:v>
      </x:c>
      <x:c r="R220" s="510" t="str">
        <x:v>GMI financing release</x:v>
      </x:c>
      <x:c r="S220" s="510" t="str">
        <x:v>Equity + facility ≠ cash available to landlord.</x:v>
      </x:c>
    </x:row>
    <x:row r="221" ht="16" hidden="0" customHeight="1">
      <x:c r="P221" s="684" t="str">
        <x:v>REQUIRED DILIGENCE | NOT YET COLLECTED</x:v>
      </x:c>
      <x:c r="Q221" s="1047"/>
      <x:c r="R221" s="685" t="str"/>
      <x:c r="S221" s="685" t="str"/>
    </x:row>
    <x:row r="222" ht="17.110000610351562" hidden="0" customHeight="1">
      <x:c r="P222" s="509" t="str">
        <x:v>Land/title, appraisal, easements</x:v>
      </x:c>
      <x:c r="Q222" s="1042" t="str">
        <x:v>REQUIRED</x:v>
      </x:c>
      <x:c r="R222" s="510" t="str">
        <x:v>Research tab</x:v>
      </x:c>
      <x:c r="S222" s="510" t="str">
        <x:v>Acquire independent parcel evidence.</x:v>
      </x:c>
    </x:row>
    <x:row r="223" ht="17.110000610351562" hidden="0" customHeight="1">
      <x:c r="P223" s="597" t="str">
        <x:v>Executed power/interconnection</x:v>
      </x:c>
      <x:c r="Q223" s="1041" t="str">
        <x:v>REQUIRED</x:v>
      </x:c>
      <x:c r="R223" s="599" t="str">
        <x:v>Research tab</x:v>
      </x:c>
      <x:c r="S223" s="599" t="str">
        <x:v>Confirm firm MW, date, cost and curtailment.</x:v>
      </x:c>
    </x:row>
    <x:row r="224" ht="17.110000610351562" hidden="0" customHeight="1">
      <x:c r="P224" s="509" t="str">
        <x:v>Cooling, redundancy, commissioning</x:v>
      </x:c>
      <x:c r="Q224" s="1042" t="str">
        <x:v>REQUIRED</x:v>
      </x:c>
      <x:c r="R224" s="510" t="str">
        <x:v>Research tab</x:v>
      </x:c>
      <x:c r="S224" s="510" t="str">
        <x:v>Engineer verifies IT MW delivery boundary.</x:v>
      </x:c>
    </x:row>
    <x:row r="225" ht="17.110000610351562" hidden="0" customHeight="1">
      <x:c r="P225" s="597" t="str">
        <x:v>Matched construction bids</x:v>
      </x:c>
      <x:c r="Q225" s="1041" t="str">
        <x:v>REQUIRED</x:v>
      </x:c>
      <x:c r="R225" s="599" t="str">
        <x:v>Research tab</x:v>
      </x:c>
      <x:c r="S225" s="599" t="str">
        <x:v>Test the construction allowances.</x:v>
      </x:c>
    </x:row>
    <x:row r="226" ht="17.110000610351562" hidden="0" customHeight="1">
      <x:c r="P226" s="509" t="str">
        <x:v>Lease, obligor, remedies</x:v>
      </x:c>
      <x:c r="Q226" s="1042" t="str">
        <x:v>REQUIRED</x:v>
      </x:c>
      <x:c r="R226" s="510" t="str">
        <x:v>Research tab</x:v>
      </x:c>
      <x:c r="S226" s="510" t="str">
        <x:v>Underwrite the actual tenant and guarantee.</x:v>
      </x:c>
    </x:row>
    <x:row r="227" ht="17.110000610351562" hidden="0" customHeight="1">
      <x:c r="P227" s="597" t="str">
        <x:v>Creditor liens and credit support</x:v>
      </x:c>
      <x:c r="Q227" s="1041" t="str">
        <x:v>REQUIRED</x:v>
      </x:c>
      <x:c r="R227" s="599" t="str">
        <x:v>Research tab</x:v>
      </x:c>
      <x:c r="S227" s="599" t="str">
        <x:v>Avoid treating customer logo as surety.</x:v>
      </x:c>
    </x:row>
    <x:row r="228" ht="17.110000610351562" hidden="0" customHeight="1">
      <x:c r="P228" s="509" t="str">
        <x:v>Exit/re-leasing and retrofits</x:v>
      </x:c>
      <x:c r="Q228" s="1042" t="str">
        <x:v>REQUIRED</x:v>
      </x:c>
      <x:c r="R228" s="510" t="str">
        <x:v>Research tab</x:v>
      </x:c>
      <x:c r="S228" s="510" t="str">
        <x:v>Model residual property adaptability.</x:v>
      </x:c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21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0:F30"/>
    <x:mergeCell ref="C3:D3"/>
    <x:mergeCell ref="C4:F4"/>
    <x:mergeCell ref="C5:F5"/>
    <x:mergeCell ref="C7:F7"/>
    <x:mergeCell ref="C11:F11"/>
    <x:mergeCell ref="C21:F21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1:S221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8.765625" customWidth="1"/>
    <x:col min="4" max="4" width="11" customWidth="1"/>
    <x:col min="5" max="14" width="14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</x:row>
    <x:row r="2" ht="12" customHeight="1">
      <x:c r="A2" s="4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6"/>
    </x:row>
    <x:row r="3" ht="34" customHeight="1">
      <x:c r="A3" s="4"/>
      <x:c r="B3" s="5"/>
      <x:c r="C3" s="617" t="s">
        <x:v>1110</x:v>
      </x:c>
      <x:c r="D3" s="618"/>
      <x:c r="E3" s="618"/>
      <x:c r="F3" s="618"/>
      <x:c r="G3" s="618"/>
      <x:c r="H3" s="618"/>
      <x:c r="I3" s="618"/>
      <x:c r="J3" s="618"/>
      <x:c r="K3" s="618"/>
      <x:c r="L3" s="618"/>
      <x:c r="M3" s="618"/>
      <x:c r="N3" s="618"/>
    </x:row>
    <x:row r="4" ht="32.04999923706055" customHeight="1">
      <x:c r="A4" s="4"/>
      <x:c r="B4" s="5"/>
      <x:c r="C4" s="631" t="s">
        <x:v>1111</x:v>
      </x:c>
      <x:c r="D4" s="569"/>
      <x:c r="E4" s="569"/>
      <x:c r="F4" s="569"/>
      <x:c r="G4" s="569"/>
      <x:c r="H4" s="569"/>
      <x:c r="I4" s="569"/>
      <x:c r="J4" s="569"/>
      <x:c r="K4" s="569"/>
      <x:c r="L4" s="569"/>
      <x:c r="M4" s="569"/>
      <x:c r="N4" s="569"/>
    </x:row>
    <x:row r="5" ht="36" customHeight="1">
      <x:c r="A5" s="4"/>
      <x:c r="B5" s="5"/>
      <x:c r="C5" s="632" t="s">
        <x:v>1112</x:v>
      </x:c>
      <x:c r="D5" s="633"/>
      <x:c r="E5" s="633"/>
      <x:c r="F5" s="633"/>
      <x:c r="G5" s="633"/>
      <x:c r="H5" s="633"/>
      <x:c r="I5" s="633"/>
      <x:c r="J5" s="633"/>
      <x:c r="K5" s="633"/>
      <x:c r="L5" s="633"/>
      <x:c r="M5" s="633"/>
      <x:c r="N5" s="633"/>
    </x:row>
    <x:row r="6" ht="34.29999923706055" customHeight="1">
      <x:c r="A6" s="4"/>
      <x:c r="B6" s="5"/>
      <x:c r="C6" s="622" t="s">
        <x:v>483</x:v>
      </x:c>
      <x:c r="D6" s="623" t="s">
        <x:v>1113</x:v>
      </x:c>
      <x:c r="E6" s="623" t="s">
        <x:v>484</x:v>
      </x:c>
      <x:c r="F6" s="623" t="s">
        <x:v>1114</x:v>
      </x:c>
      <x:c r="G6" s="623" t="s">
        <x:v>1115</x:v>
      </x:c>
      <x:c r="H6" s="623" t="s">
        <x:v>488</x:v>
      </x:c>
      <x:c r="I6" s="623" t="s">
        <x:v>1116</x:v>
      </x:c>
      <x:c r="J6" s="623" t="s">
        <x:v>1117</x:v>
      </x:c>
      <x:c r="K6" s="623" t="s">
        <x:v>1118</x:v>
      </x:c>
      <x:c r="L6" s="623" t="s">
        <x:v>1119</x:v>
      </x:c>
      <x:c r="M6" s="623" t="s">
        <x:v>1120</x:v>
      </x:c>
      <x:c r="N6" s="623" t="s">
        <x:v>1121</x:v>
      </x:c>
    </x:row>
    <x:row r="7" ht="22.75" customHeight="1">
      <x:c r="A7" s="4"/>
      <x:c r="B7" s="5"/>
      <x:c r="C7" s="747">
        <x:v>0</x:v>
      </x:c>
      <x:c r="D7" s="453" t="s">
        <x:v>1122</x:v>
      </x:c>
      <x:c r="E7" s="452" t="n">
        <x:f>-Construction!D7</x:f>
        <x:v>-48000000</x:v>
      </x:c>
      <x:c r="F7" s="452" t="n">
        <x:f>Construction!E7</x:f>
        <x:v>28800000</x:v>
      </x:c>
      <x:c r="G7" s="452" t="n">
        <x:f>-Construction!G7</x:f>
        <x:v>0</x:v>
      </x:c>
      <x:c r="H7" s="452" t="n">
        <x:f>-Construction!H7</x:f>
        <x:v>-1169400</x:v>
      </x:c>
      <x:c r="I7" s="732" t="n">
        <x:f>0</x:f>
        <x:v>0</x:v>
      </x:c>
      <x:c r="J7" s="732" t="n">
        <x:f>0</x:f>
        <x:v>0</x:v>
      </x:c>
      <x:c r="K7" s="732" t="n">
        <x:f>0</x:f>
        <x:v>0</x:v>
      </x:c>
      <x:c r="L7" s="732" t="n">
        <x:f>0</x:f>
        <x:v>0</x:v>
      </x:c>
      <x:c r="M7" s="732" t="n">
        <x:f>SUM(E7,I7,K7)</x:f>
        <x:v>-48000000</x:v>
      </x:c>
      <x:c r="N7" s="732" t="n">
        <x:f>SUM(E7:L7)</x:f>
        <x:v>-20369400</x:v>
      </x:c>
    </x:row>
    <x:row r="8" ht="22.75" customHeight="1">
      <x:c r="A8" s="4"/>
      <x:c r="B8" s="5"/>
      <x:c r="C8" s="748">
        <x:v>1</x:v>
      </x:c>
      <x:c r="D8" s="450" t="s">
        <x:v>1122</x:v>
      </x:c>
      <x:c r="E8" s="449" t="n">
        <x:f>-Construction!D8</x:f>
        <x:v>-6120833.333333333</x:v>
      </x:c>
      <x:c r="F8" s="449" t="n">
        <x:f>Construction!E8</x:f>
        <x:v>3672499.9999999995</x:v>
      </x:c>
      <x:c r="G8" s="449" t="n">
        <x:f>-Construction!G8</x:f>
        <x:v>-204241.66666666666</x:v>
      </x:c>
      <x:c r="H8" s="449" t="n">
        <x:f>-Construction!H8</x:f>
        <x:v>0</x:v>
      </x:c>
      <x:c r="I8" s="731" t="n">
        <x:f>0</x:f>
        <x:v>0</x:v>
      </x:c>
      <x:c r="J8" s="731" t="n">
        <x:f>0</x:f>
        <x:v>0</x:v>
      </x:c>
      <x:c r="K8" s="731" t="n">
        <x:f>0</x:f>
        <x:v>0</x:v>
      </x:c>
      <x:c r="L8" s="731" t="n">
        <x:f>0</x:f>
        <x:v>0</x:v>
      </x:c>
      <x:c r="M8" s="731" t="n">
        <x:f>SUM(E8,I8,K8)</x:f>
        <x:v>-6120833.333333333</x:v>
      </x:c>
      <x:c r="N8" s="731" t="n">
        <x:f>SUM(E8:L8)</x:f>
        <x:v>-2652575</x:v>
      </x:c>
    </x:row>
    <x:row r="9" ht="22.75" customHeight="1">
      <x:c r="A9" s="4"/>
      <x:c r="B9" s="5"/>
      <x:c r="C9" s="747">
        <x:v>2</x:v>
      </x:c>
      <x:c r="D9" s="453" t="s">
        <x:v>1122</x:v>
      </x:c>
      <x:c r="E9" s="452" t="n">
        <x:f>-Construction!D9</x:f>
        <x:v>-6120833.333333333</x:v>
      </x:c>
      <x:c r="F9" s="452" t="n">
        <x:f>Construction!E9</x:f>
        <x:v>3672499.9999999995</x:v>
      </x:c>
      <x:c r="G9" s="452" t="n">
        <x:f>-Construction!G9</x:f>
        <x:v>-228725</x:v>
      </x:c>
      <x:c r="H9" s="452" t="n">
        <x:f>-Construction!H9</x:f>
        <x:v>0</x:v>
      </x:c>
      <x:c r="I9" s="732" t="n">
        <x:f>0</x:f>
        <x:v>0</x:v>
      </x:c>
      <x:c r="J9" s="732" t="n">
        <x:f>0</x:f>
        <x:v>0</x:v>
      </x:c>
      <x:c r="K9" s="732" t="n">
        <x:f>0</x:f>
        <x:v>0</x:v>
      </x:c>
      <x:c r="L9" s="732" t="n">
        <x:f>0</x:f>
        <x:v>0</x:v>
      </x:c>
      <x:c r="M9" s="732" t="n">
        <x:f>SUM(E9,I9,K9)</x:f>
        <x:v>-6120833.333333333</x:v>
      </x:c>
      <x:c r="N9" s="732" t="n">
        <x:f>SUM(E9:L9)</x:f>
        <x:v>-2677058.3333333335</x:v>
      </x:c>
    </x:row>
    <x:row r="10" ht="22.75" customHeight="1">
      <x:c r="A10" s="4"/>
      <x:c r="B10" s="5"/>
      <x:c r="C10" s="748">
        <x:v>3</x:v>
      </x:c>
      <x:c r="D10" s="450" t="s">
        <x:v>1122</x:v>
      </x:c>
      <x:c r="E10" s="449" t="n">
        <x:f>-Construction!D10</x:f>
        <x:v>-6120833.333333333</x:v>
      </x:c>
      <x:c r="F10" s="449" t="n">
        <x:f>Construction!E10</x:f>
        <x:v>3672499.9999999995</x:v>
      </x:c>
      <x:c r="G10" s="449" t="n">
        <x:f>-Construction!G10</x:f>
        <x:v>-253208.33333333334</x:v>
      </x:c>
      <x:c r="H10" s="449" t="n">
        <x:f>-Construction!H10</x:f>
        <x:v>0</x:v>
      </x:c>
      <x:c r="I10" s="731" t="n">
        <x:f>0</x:f>
        <x:v>0</x:v>
      </x:c>
      <x:c r="J10" s="731" t="n">
        <x:f>0</x:f>
        <x:v>0</x:v>
      </x:c>
      <x:c r="K10" s="731" t="n">
        <x:f>0</x:f>
        <x:v>0</x:v>
      </x:c>
      <x:c r="L10" s="731" t="n">
        <x:f>0</x:f>
        <x:v>0</x:v>
      </x:c>
      <x:c r="M10" s="731" t="n">
        <x:f>SUM(E10,I10,K10)</x:f>
        <x:v>-6120833.333333333</x:v>
      </x:c>
      <x:c r="N10" s="731" t="n">
        <x:f>SUM(E10:L10)</x:f>
        <x:v>-2701541.666666667</x:v>
      </x:c>
    </x:row>
    <x:row r="11" ht="22.75" customHeight="1">
      <x:c r="A11" s="4"/>
      <x:c r="B11" s="5"/>
      <x:c r="C11" s="747">
        <x:v>4</x:v>
      </x:c>
      <x:c r="D11" s="453" t="s">
        <x:v>1122</x:v>
      </x:c>
      <x:c r="E11" s="452" t="n">
        <x:f>-Construction!D11</x:f>
        <x:v>-6120833.333333333</x:v>
      </x:c>
      <x:c r="F11" s="452" t="n">
        <x:f>Construction!E11</x:f>
        <x:v>3672499.9999999995</x:v>
      </x:c>
      <x:c r="G11" s="452" t="n">
        <x:f>-Construction!G11</x:f>
        <x:v>-277691.6666666667</x:v>
      </x:c>
      <x:c r="H11" s="452" t="n">
        <x:f>-Construction!H11</x:f>
        <x:v>0</x:v>
      </x:c>
      <x:c r="I11" s="732" t="n">
        <x:f>0</x:f>
        <x:v>0</x:v>
      </x:c>
      <x:c r="J11" s="732" t="n">
        <x:f>0</x:f>
        <x:v>0</x:v>
      </x:c>
      <x:c r="K11" s="732" t="n">
        <x:f>0</x:f>
        <x:v>0</x:v>
      </x:c>
      <x:c r="L11" s="732" t="n">
        <x:f>0</x:f>
        <x:v>0</x:v>
      </x:c>
      <x:c r="M11" s="732" t="n">
        <x:f>SUM(E11,I11,K11)</x:f>
        <x:v>-6120833.333333333</x:v>
      </x:c>
      <x:c r="N11" s="732" t="n">
        <x:f>SUM(E11:L11)</x:f>
        <x:v>-2726025</x:v>
      </x:c>
    </x:row>
    <x:row r="12" ht="22.75" customHeight="1">
      <x:c r="A12" s="4"/>
      <x:c r="B12" s="5"/>
      <x:c r="C12" s="748">
        <x:v>5</x:v>
      </x:c>
      <x:c r="D12" s="450" t="s">
        <x:v>1122</x:v>
      </x:c>
      <x:c r="E12" s="449" t="n">
        <x:f>-Construction!D12</x:f>
        <x:v>-6120833.333333333</x:v>
      </x:c>
      <x:c r="F12" s="449" t="n">
        <x:f>Construction!E12</x:f>
        <x:v>3672499.9999999995</x:v>
      </x:c>
      <x:c r="G12" s="449" t="n">
        <x:f>-Construction!G12</x:f>
        <x:v>-302175</x:v>
      </x:c>
      <x:c r="H12" s="449" t="n">
        <x:f>-Construction!H12</x:f>
        <x:v>0</x:v>
      </x:c>
      <x:c r="I12" s="731" t="n">
        <x:f>0</x:f>
        <x:v>0</x:v>
      </x:c>
      <x:c r="J12" s="731" t="n">
        <x:f>0</x:f>
        <x:v>0</x:v>
      </x:c>
      <x:c r="K12" s="731" t="n">
        <x:f>0</x:f>
        <x:v>0</x:v>
      </x:c>
      <x:c r="L12" s="731" t="n">
        <x:f>0</x:f>
        <x:v>0</x:v>
      </x:c>
      <x:c r="M12" s="731" t="n">
        <x:f>SUM(E12,I12,K12)</x:f>
        <x:v>-6120833.333333333</x:v>
      </x:c>
      <x:c r="N12" s="731" t="n">
        <x:f>SUM(E12:L12)</x:f>
        <x:v>-2750508.3333333335</x:v>
      </x:c>
    </x:row>
    <x:row r="13" ht="22.75" customHeight="1">
      <x:c r="A13" s="4"/>
      <x:c r="B13" s="5"/>
      <x:c r="C13" s="747">
        <x:v>6</x:v>
      </x:c>
      <x:c r="D13" s="453" t="s">
        <x:v>1122</x:v>
      </x:c>
      <x:c r="E13" s="452" t="n">
        <x:f>-Construction!D13</x:f>
        <x:v>-6120833.333333333</x:v>
      </x:c>
      <x:c r="F13" s="452" t="n">
        <x:f>Construction!E13</x:f>
        <x:v>3672499.9999999995</x:v>
      </x:c>
      <x:c r="G13" s="452" t="n">
        <x:f>-Construction!G13</x:f>
        <x:v>-326658.3333333333</x:v>
      </x:c>
      <x:c r="H13" s="452" t="n">
        <x:f>-Construction!H13</x:f>
        <x:v>0</x:v>
      </x:c>
      <x:c r="I13" s="732" t="n">
        <x:f>0</x:f>
        <x:v>0</x:v>
      </x:c>
      <x:c r="J13" s="732" t="n">
        <x:f>0</x:f>
        <x:v>0</x:v>
      </x:c>
      <x:c r="K13" s="732" t="n">
        <x:f>0</x:f>
        <x:v>0</x:v>
      </x:c>
      <x:c r="L13" s="732" t="n">
        <x:f>0</x:f>
        <x:v>0</x:v>
      </x:c>
      <x:c r="M13" s="732" t="n">
        <x:f>SUM(E13,I13,K13)</x:f>
        <x:v>-6120833.333333333</x:v>
      </x:c>
      <x:c r="N13" s="732" t="n">
        <x:f>SUM(E13:L13)</x:f>
        <x:v>-2774991.666666667</x:v>
      </x:c>
    </x:row>
    <x:row r="14" ht="22.75" customHeight="1">
      <x:c r="A14" s="4"/>
      <x:c r="B14" s="5"/>
      <x:c r="C14" s="748">
        <x:v>7</x:v>
      </x:c>
      <x:c r="D14" s="450" t="s">
        <x:v>1122</x:v>
      </x:c>
      <x:c r="E14" s="449" t="n">
        <x:f>-Construction!D14</x:f>
        <x:v>-6120833.333333333</x:v>
      </x:c>
      <x:c r="F14" s="449" t="n">
        <x:f>Construction!E14</x:f>
        <x:v>3672499.9999999995</x:v>
      </x:c>
      <x:c r="G14" s="449" t="n">
        <x:f>-Construction!G14</x:f>
        <x:v>-351141.6666666667</x:v>
      </x:c>
      <x:c r="H14" s="449" t="n">
        <x:f>-Construction!H14</x:f>
        <x:v>0</x:v>
      </x:c>
      <x:c r="I14" s="731" t="n">
        <x:f>0</x:f>
        <x:v>0</x:v>
      </x:c>
      <x:c r="J14" s="731" t="n">
        <x:f>0</x:f>
        <x:v>0</x:v>
      </x:c>
      <x:c r="K14" s="731" t="n">
        <x:f>0</x:f>
        <x:v>0</x:v>
      </x:c>
      <x:c r="L14" s="731" t="n">
        <x:f>0</x:f>
        <x:v>0</x:v>
      </x:c>
      <x:c r="M14" s="731" t="n">
        <x:f>SUM(E14,I14,K14)</x:f>
        <x:v>-6120833.333333333</x:v>
      </x:c>
      <x:c r="N14" s="731" t="n">
        <x:f>SUM(E14:L14)</x:f>
        <x:v>-2799475</x:v>
      </x:c>
    </x:row>
    <x:row r="15" ht="22.75" customHeight="1">
      <x:c r="A15" s="4"/>
      <x:c r="B15" s="5"/>
      <x:c r="C15" s="747">
        <x:v>8</x:v>
      </x:c>
      <x:c r="D15" s="453" t="s">
        <x:v>1122</x:v>
      </x:c>
      <x:c r="E15" s="452" t="n">
        <x:f>-Construction!D15</x:f>
        <x:v>-6120833.333333333</x:v>
      </x:c>
      <x:c r="F15" s="452" t="n">
        <x:f>Construction!E15</x:f>
        <x:v>3672499.9999999995</x:v>
      </x:c>
      <x:c r="G15" s="452" t="n">
        <x:f>-Construction!G15</x:f>
        <x:v>-375625</x:v>
      </x:c>
      <x:c r="H15" s="452" t="n">
        <x:f>-Construction!H15</x:f>
        <x:v>0</x:v>
      </x:c>
      <x:c r="I15" s="732" t="n">
        <x:f>0</x:f>
        <x:v>0</x:v>
      </x:c>
      <x:c r="J15" s="732" t="n">
        <x:f>0</x:f>
        <x:v>0</x:v>
      </x:c>
      <x:c r="K15" s="732" t="n">
        <x:f>0</x:f>
        <x:v>0</x:v>
      </x:c>
      <x:c r="L15" s="732" t="n">
        <x:f>0</x:f>
        <x:v>0</x:v>
      </x:c>
      <x:c r="M15" s="732" t="n">
        <x:f>SUM(E15,I15,K15)</x:f>
        <x:v>-6120833.333333333</x:v>
      </x:c>
      <x:c r="N15" s="732" t="n">
        <x:f>SUM(E15:L15)</x:f>
        <x:v>-2823958.3333333335</x:v>
      </x:c>
    </x:row>
    <x:row r="16" ht="22.75" customHeight="1">
      <x:c r="A16" s="4"/>
      <x:c r="B16" s="5"/>
      <x:c r="C16" s="748">
        <x:v>9</x:v>
      </x:c>
      <x:c r="D16" s="450" t="s">
        <x:v>1122</x:v>
      </x:c>
      <x:c r="E16" s="449" t="n">
        <x:f>-Construction!D16</x:f>
        <x:v>-6120833.333333333</x:v>
      </x:c>
      <x:c r="F16" s="449" t="n">
        <x:f>Construction!E16</x:f>
        <x:v>3672499.9999999995</x:v>
      </x:c>
      <x:c r="G16" s="449" t="n">
        <x:f>-Construction!G16</x:f>
        <x:v>-400108.3333333333</x:v>
      </x:c>
      <x:c r="H16" s="449" t="n">
        <x:f>-Construction!H16</x:f>
        <x:v>0</x:v>
      </x:c>
      <x:c r="I16" s="731" t="n">
        <x:f>0</x:f>
        <x:v>0</x:v>
      </x:c>
      <x:c r="J16" s="731" t="n">
        <x:f>0</x:f>
        <x:v>0</x:v>
      </x:c>
      <x:c r="K16" s="731" t="n">
        <x:f>0</x:f>
        <x:v>0</x:v>
      </x:c>
      <x:c r="L16" s="731" t="n">
        <x:f>0</x:f>
        <x:v>0</x:v>
      </x:c>
      <x:c r="M16" s="731" t="n">
        <x:f>SUM(E16,I16,K16)</x:f>
        <x:v>-6120833.333333333</x:v>
      </x:c>
      <x:c r="N16" s="731" t="n">
        <x:f>SUM(E16:L16)</x:f>
        <x:v>-2848441.666666667</x:v>
      </x:c>
    </x:row>
    <x:row r="17" ht="22.75" customHeight="1">
      <x:c r="A17" s="4"/>
      <x:c r="B17" s="5"/>
      <x:c r="C17" s="747">
        <x:v>10</x:v>
      </x:c>
      <x:c r="D17" s="453" t="s">
        <x:v>1122</x:v>
      </x:c>
      <x:c r="E17" s="452" t="n">
        <x:f>-Construction!D17</x:f>
        <x:v>-6120833.333333333</x:v>
      </x:c>
      <x:c r="F17" s="452" t="n">
        <x:f>Construction!E17</x:f>
        <x:v>3672499.9999999995</x:v>
      </x:c>
      <x:c r="G17" s="452" t="n">
        <x:f>-Construction!G17</x:f>
        <x:v>-424591.6666666667</x:v>
      </x:c>
      <x:c r="H17" s="452" t="n">
        <x:f>-Construction!H17</x:f>
        <x:v>0</x:v>
      </x:c>
      <x:c r="I17" s="732" t="n">
        <x:f>0</x:f>
        <x:v>0</x:v>
      </x:c>
      <x:c r="J17" s="732" t="n">
        <x:f>0</x:f>
        <x:v>0</x:v>
      </x:c>
      <x:c r="K17" s="732" t="n">
        <x:f>0</x:f>
        <x:v>0</x:v>
      </x:c>
      <x:c r="L17" s="732" t="n">
        <x:f>0</x:f>
        <x:v>0</x:v>
      </x:c>
      <x:c r="M17" s="732" t="n">
        <x:f>SUM(E17,I17,K17)</x:f>
        <x:v>-6120833.333333333</x:v>
      </x:c>
      <x:c r="N17" s="732" t="n">
        <x:f>SUM(E17:L17)</x:f>
        <x:v>-2872925</x:v>
      </x:c>
    </x:row>
    <x:row r="18" ht="22.75" customHeight="1">
      <x:c r="A18" s="4"/>
      <x:c r="B18" s="5"/>
      <x:c r="C18" s="748">
        <x:v>11</x:v>
      </x:c>
      <x:c r="D18" s="450" t="s">
        <x:v>1122</x:v>
      </x:c>
      <x:c r="E18" s="449" t="n">
        <x:f>-Construction!D18</x:f>
        <x:v>-6120833.333333333</x:v>
      </x:c>
      <x:c r="F18" s="449" t="n">
        <x:f>Construction!E18</x:f>
        <x:v>3672499.9999999995</x:v>
      </x:c>
      <x:c r="G18" s="449" t="n">
        <x:f>-Construction!G18</x:f>
        <x:v>-449075</x:v>
      </x:c>
      <x:c r="H18" s="449" t="n">
        <x:f>-Construction!H18</x:f>
        <x:v>0</x:v>
      </x:c>
      <x:c r="I18" s="731" t="n">
        <x:f>0</x:f>
        <x:v>0</x:v>
      </x:c>
      <x:c r="J18" s="731" t="n">
        <x:f>0</x:f>
        <x:v>0</x:v>
      </x:c>
      <x:c r="K18" s="731" t="n">
        <x:f>0</x:f>
        <x:v>0</x:v>
      </x:c>
      <x:c r="L18" s="731" t="n">
        <x:f>0</x:f>
        <x:v>0</x:v>
      </x:c>
      <x:c r="M18" s="731" t="n">
        <x:f>SUM(E18,I18,K18)</x:f>
        <x:v>-6120833.333333333</x:v>
      </x:c>
      <x:c r="N18" s="731" t="n">
        <x:f>SUM(E18:L18)</x:f>
        <x:v>-2897408.3333333335</x:v>
      </x:c>
    </x:row>
    <x:row r="19" ht="22.75" customHeight="1">
      <x:c r="A19" s="4"/>
      <x:c r="B19" s="5"/>
      <x:c r="C19" s="747">
        <x:v>12</x:v>
      </x:c>
      <x:c r="D19" s="453" t="s">
        <x:v>1122</x:v>
      </x:c>
      <x:c r="E19" s="452" t="n">
        <x:f>-Construction!D19</x:f>
        <x:v>-6120833.333333333</x:v>
      </x:c>
      <x:c r="F19" s="452" t="n">
        <x:f>Construction!E19</x:f>
        <x:v>3672499.9999999995</x:v>
      </x:c>
      <x:c r="G19" s="452" t="n">
        <x:f>-Construction!G19</x:f>
        <x:v>-473558.3333333333</x:v>
      </x:c>
      <x:c r="H19" s="452" t="n">
        <x:f>-Construction!H19</x:f>
        <x:v>0</x:v>
      </x:c>
      <x:c r="I19" s="732" t="n">
        <x:f>0</x:f>
        <x:v>0</x:v>
      </x:c>
      <x:c r="J19" s="732" t="n">
        <x:f>0</x:f>
        <x:v>0</x:v>
      </x:c>
      <x:c r="K19" s="732" t="n">
        <x:f>0</x:f>
        <x:v>0</x:v>
      </x:c>
      <x:c r="L19" s="732" t="n">
        <x:f>0</x:f>
        <x:v>0</x:v>
      </x:c>
      <x:c r="M19" s="732" t="n">
        <x:f>SUM(E19,I19,K19)</x:f>
        <x:v>-6120833.333333333</x:v>
      </x:c>
      <x:c r="N19" s="732" t="n">
        <x:f>SUM(E19:L19)</x:f>
        <x:v>-2921891.666666667</x:v>
      </x:c>
    </x:row>
    <x:row r="20" ht="22.75" customHeight="1">
      <x:c r="A20" s="4"/>
      <x:c r="B20" s="5"/>
      <x:c r="C20" s="748">
        <x:v>13</x:v>
      </x:c>
      <x:c r="D20" s="450" t="s">
        <x:v>1122</x:v>
      </x:c>
      <x:c r="E20" s="449" t="n">
        <x:f>-Construction!D20</x:f>
        <x:v>-6120833.333333333</x:v>
      </x:c>
      <x:c r="F20" s="449" t="n">
        <x:f>Construction!E20</x:f>
        <x:v>3672499.9999999995</x:v>
      </x:c>
      <x:c r="G20" s="449" t="n">
        <x:f>-Construction!G20</x:f>
        <x:v>-498041.6666666667</x:v>
      </x:c>
      <x:c r="H20" s="449" t="n">
        <x:f>-Construction!H20</x:f>
        <x:v>0</x:v>
      </x:c>
      <x:c r="I20" s="731" t="n">
        <x:f>0</x:f>
        <x:v>0</x:v>
      </x:c>
      <x:c r="J20" s="731" t="n">
        <x:f>0</x:f>
        <x:v>0</x:v>
      </x:c>
      <x:c r="K20" s="731" t="n">
        <x:f>0</x:f>
        <x:v>0</x:v>
      </x:c>
      <x:c r="L20" s="731" t="n">
        <x:f>0</x:f>
        <x:v>0</x:v>
      </x:c>
      <x:c r="M20" s="731" t="n">
        <x:f>SUM(E20,I20,K20)</x:f>
        <x:v>-6120833.333333333</x:v>
      </x:c>
      <x:c r="N20" s="731" t="n">
        <x:f>SUM(E20:L20)</x:f>
        <x:v>-2946375</x:v>
      </x:c>
    </x:row>
    <x:row r="21" ht="22.75" customHeight="1">
      <x:c r="A21" s="4"/>
      <x:c r="B21" s="5"/>
      <x:c r="C21" s="747">
        <x:v>14</x:v>
      </x:c>
      <x:c r="D21" s="453" t="s">
        <x:v>1122</x:v>
      </x:c>
      <x:c r="E21" s="452" t="n">
        <x:f>-Construction!D21</x:f>
        <x:v>-6120833.333333333</x:v>
      </x:c>
      <x:c r="F21" s="452" t="n">
        <x:f>Construction!E21</x:f>
        <x:v>3672499.9999999995</x:v>
      </x:c>
      <x:c r="G21" s="452" t="n">
        <x:f>-Construction!G21</x:f>
        <x:v>-522525</x:v>
      </x:c>
      <x:c r="H21" s="452" t="n">
        <x:f>-Construction!H21</x:f>
        <x:v>0</x:v>
      </x:c>
      <x:c r="I21" s="732" t="n">
        <x:f>0</x:f>
        <x:v>0</x:v>
      </x:c>
      <x:c r="J21" s="732" t="n">
        <x:f>0</x:f>
        <x:v>0</x:v>
      </x:c>
      <x:c r="K21" s="732" t="n">
        <x:f>0</x:f>
        <x:v>0</x:v>
      </x:c>
      <x:c r="L21" s="732" t="n">
        <x:f>0</x:f>
        <x:v>0</x:v>
      </x:c>
      <x:c r="M21" s="732" t="n">
        <x:f>SUM(E21,I21,K21)</x:f>
        <x:v>-6120833.333333333</x:v>
      </x:c>
      <x:c r="N21" s="732" t="n">
        <x:f>SUM(E21:L21)</x:f>
        <x:v>-2970858.3333333335</x:v>
      </x:c>
    </x:row>
    <x:row r="22" ht="22.75" customHeight="1">
      <x:c r="A22" s="4"/>
      <x:c r="B22" s="5"/>
      <x:c r="C22" s="748">
        <x:v>15</x:v>
      </x:c>
      <x:c r="D22" s="450" t="s">
        <x:v>1122</x:v>
      </x:c>
      <x:c r="E22" s="449" t="n">
        <x:f>-Construction!D22</x:f>
        <x:v>-6120833.333333333</x:v>
      </x:c>
      <x:c r="F22" s="449" t="n">
        <x:f>Construction!E22</x:f>
        <x:v>3672499.9999999995</x:v>
      </x:c>
      <x:c r="G22" s="449" t="n">
        <x:f>-Construction!G22</x:f>
        <x:v>-547008.3333333334</x:v>
      </x:c>
      <x:c r="H22" s="449" t="n">
        <x:f>-Construction!H22</x:f>
        <x:v>0</x:v>
      </x:c>
      <x:c r="I22" s="731" t="n">
        <x:f>0</x:f>
        <x:v>0</x:v>
      </x:c>
      <x:c r="J22" s="731" t="n">
        <x:f>0</x:f>
        <x:v>0</x:v>
      </x:c>
      <x:c r="K22" s="731" t="n">
        <x:f>0</x:f>
        <x:v>0</x:v>
      </x:c>
      <x:c r="L22" s="731" t="n">
        <x:f>0</x:f>
        <x:v>0</x:v>
      </x:c>
      <x:c r="M22" s="731" t="n">
        <x:f>SUM(E22,I22,K22)</x:f>
        <x:v>-6120833.333333333</x:v>
      </x:c>
      <x:c r="N22" s="731" t="n">
        <x:f>SUM(E22:L22)</x:f>
        <x:v>-2995341.666666667</x:v>
      </x:c>
    </x:row>
    <x:row r="23" ht="22.75" customHeight="1">
      <x:c r="A23" s="4"/>
      <x:c r="B23" s="5"/>
      <x:c r="C23" s="747">
        <x:v>16</x:v>
      </x:c>
      <x:c r="D23" s="453" t="s">
        <x:v>1122</x:v>
      </x:c>
      <x:c r="E23" s="452" t="n">
        <x:f>-Construction!D23</x:f>
        <x:v>-6120833.333333333</x:v>
      </x:c>
      <x:c r="F23" s="452" t="n">
        <x:f>Construction!E23</x:f>
        <x:v>3672499.9999999995</x:v>
      </x:c>
      <x:c r="G23" s="452" t="n">
        <x:f>-Construction!G23</x:f>
        <x:v>-571491.6666666666</x:v>
      </x:c>
      <x:c r="H23" s="452" t="n">
        <x:f>-Construction!H23</x:f>
        <x:v>0</x:v>
      </x:c>
      <x:c r="I23" s="732" t="n">
        <x:f>0</x:f>
        <x:v>0</x:v>
      </x:c>
      <x:c r="J23" s="732" t="n">
        <x:f>0</x:f>
        <x:v>0</x:v>
      </x:c>
      <x:c r="K23" s="732" t="n">
        <x:f>0</x:f>
        <x:v>0</x:v>
      </x:c>
      <x:c r="L23" s="732" t="n">
        <x:f>0</x:f>
        <x:v>0</x:v>
      </x:c>
      <x:c r="M23" s="732" t="n">
        <x:f>SUM(E23,I23,K23)</x:f>
        <x:v>-6120833.333333333</x:v>
      </x:c>
      <x:c r="N23" s="732" t="n">
        <x:f>SUM(E23:L23)</x:f>
        <x:v>-3019825</x:v>
      </x:c>
    </x:row>
    <x:row r="24" ht="22.75" customHeight="1">
      <x:c r="A24" s="4"/>
      <x:c r="B24" s="5"/>
      <x:c r="C24" s="748">
        <x:v>17</x:v>
      </x:c>
      <x:c r="D24" s="450" t="s">
        <x:v>1122</x:v>
      </x:c>
      <x:c r="E24" s="449" t="n">
        <x:f>-Construction!D24</x:f>
        <x:v>-6120833.333333333</x:v>
      </x:c>
      <x:c r="F24" s="449" t="n">
        <x:f>Construction!E24</x:f>
        <x:v>3672499.9999999995</x:v>
      </x:c>
      <x:c r="G24" s="449" t="n">
        <x:f>-Construction!G24</x:f>
        <x:v>-595975</x:v>
      </x:c>
      <x:c r="H24" s="449" t="n">
        <x:f>-Construction!H24</x:f>
        <x:v>0</x:v>
      </x:c>
      <x:c r="I24" s="731" t="n">
        <x:f>0</x:f>
        <x:v>0</x:v>
      </x:c>
      <x:c r="J24" s="731" t="n">
        <x:f>0</x:f>
        <x:v>0</x:v>
      </x:c>
      <x:c r="K24" s="731" t="n">
        <x:f>0</x:f>
        <x:v>0</x:v>
      </x:c>
      <x:c r="L24" s="731" t="n">
        <x:f>0</x:f>
        <x:v>0</x:v>
      </x:c>
      <x:c r="M24" s="731" t="n">
        <x:f>SUM(E24,I24,K24)</x:f>
        <x:v>-6120833.333333333</x:v>
      </x:c>
      <x:c r="N24" s="731" t="n">
        <x:f>SUM(E24:L24)</x:f>
        <x:v>-3044308.3333333335</x:v>
      </x:c>
    </x:row>
    <x:row r="25" ht="22.75" customHeight="1">
      <x:c r="A25" s="4"/>
      <x:c r="B25" s="5"/>
      <x:c r="C25" s="747">
        <x:v>18</x:v>
      </x:c>
      <x:c r="D25" s="453" t="s">
        <x:v>1122</x:v>
      </x:c>
      <x:c r="E25" s="452" t="n">
        <x:f>-Construction!D25</x:f>
        <x:v>-6120833.333333333</x:v>
      </x:c>
      <x:c r="F25" s="452" t="n">
        <x:f>Construction!E25</x:f>
        <x:v>3672499.9999999995</x:v>
      </x:c>
      <x:c r="G25" s="452" t="n">
        <x:f>-Construction!G25</x:f>
        <x:v>-620458.3333333334</x:v>
      </x:c>
      <x:c r="H25" s="452" t="n">
        <x:f>-Construction!H25</x:f>
        <x:v>0</x:v>
      </x:c>
      <x:c r="I25" s="732" t="n">
        <x:f>0</x:f>
        <x:v>0</x:v>
      </x:c>
      <x:c r="J25" s="732" t="n">
        <x:f>0</x:f>
        <x:v>0</x:v>
      </x:c>
      <x:c r="K25" s="732" t="n">
        <x:f>0</x:f>
        <x:v>0</x:v>
      </x:c>
      <x:c r="L25" s="732" t="n">
        <x:f>0</x:f>
        <x:v>0</x:v>
      </x:c>
      <x:c r="M25" s="732" t="n">
        <x:f>SUM(E25,I25,K25)</x:f>
        <x:v>-6120833.333333333</x:v>
      </x:c>
      <x:c r="N25" s="732" t="n">
        <x:f>SUM(E25:L25)</x:f>
        <x:v>-3068791.666666667</x:v>
      </x:c>
    </x:row>
    <x:row r="26" ht="22.75" customHeight="1">
      <x:c r="A26" s="4"/>
      <x:c r="B26" s="5"/>
      <x:c r="C26" s="748">
        <x:v>19</x:v>
      </x:c>
      <x:c r="D26" s="450" t="s">
        <x:v>1122</x:v>
      </x:c>
      <x:c r="E26" s="449" t="n">
        <x:f>-Construction!D26</x:f>
        <x:v>-6120833.333333333</x:v>
      </x:c>
      <x:c r="F26" s="449" t="n">
        <x:f>Construction!E26</x:f>
        <x:v>3672499.9999999995</x:v>
      </x:c>
      <x:c r="G26" s="449" t="n">
        <x:f>-Construction!G26</x:f>
        <x:v>-644941.6666666666</x:v>
      </x:c>
      <x:c r="H26" s="449" t="n">
        <x:f>-Construction!H26</x:f>
        <x:v>0</x:v>
      </x:c>
      <x:c r="I26" s="731" t="n">
        <x:f>0</x:f>
        <x:v>0</x:v>
      </x:c>
      <x:c r="J26" s="731" t="n">
        <x:f>0</x:f>
        <x:v>0</x:v>
      </x:c>
      <x:c r="K26" s="731" t="n">
        <x:f>0</x:f>
        <x:v>0</x:v>
      </x:c>
      <x:c r="L26" s="731" t="n">
        <x:f>0</x:f>
        <x:v>0</x:v>
      </x:c>
      <x:c r="M26" s="731" t="n">
        <x:f>SUM(E26,I26,K26)</x:f>
        <x:v>-6120833.333333333</x:v>
      </x:c>
      <x:c r="N26" s="731" t="n">
        <x:f>SUM(E26:L26)</x:f>
        <x:v>-3093275</x:v>
      </x:c>
    </x:row>
    <x:row r="27" ht="22.75" customHeight="1">
      <x:c r="A27" s="4"/>
      <x:c r="B27" s="5"/>
      <x:c r="C27" s="747">
        <x:v>20</x:v>
      </x:c>
      <x:c r="D27" s="453" t="s">
        <x:v>1122</x:v>
      </x:c>
      <x:c r="E27" s="452" t="n">
        <x:f>-Construction!D27</x:f>
        <x:v>-6120833.333333333</x:v>
      </x:c>
      <x:c r="F27" s="452" t="n">
        <x:f>Construction!E27</x:f>
        <x:v>3672499.9999999995</x:v>
      </x:c>
      <x:c r="G27" s="452" t="n">
        <x:f>-Construction!G27</x:f>
        <x:v>-669425</x:v>
      </x:c>
      <x:c r="H27" s="452" t="n">
        <x:f>-Construction!H27</x:f>
        <x:v>0</x:v>
      </x:c>
      <x:c r="I27" s="732" t="n">
        <x:f>0</x:f>
        <x:v>0</x:v>
      </x:c>
      <x:c r="J27" s="732" t="n">
        <x:f>0</x:f>
        <x:v>0</x:v>
      </x:c>
      <x:c r="K27" s="732" t="n">
        <x:f>0</x:f>
        <x:v>0</x:v>
      </x:c>
      <x:c r="L27" s="732" t="n">
        <x:f>0</x:f>
        <x:v>0</x:v>
      </x:c>
      <x:c r="M27" s="732" t="n">
        <x:f>SUM(E27,I27,K27)</x:f>
        <x:v>-6120833.333333333</x:v>
      </x:c>
      <x:c r="N27" s="732" t="n">
        <x:f>SUM(E27:L27)</x:f>
        <x:v>-3117758.3333333335</x:v>
      </x:c>
    </x:row>
    <x:row r="28" ht="22.75" customHeight="1">
      <x:c r="A28" s="4"/>
      <x:c r="B28" s="5"/>
      <x:c r="C28" s="748">
        <x:v>21</x:v>
      </x:c>
      <x:c r="D28" s="450" t="s">
        <x:v>1122</x:v>
      </x:c>
      <x:c r="E28" s="449" t="n">
        <x:f>-Construction!D28</x:f>
        <x:v>-6120833.333333333</x:v>
      </x:c>
      <x:c r="F28" s="449" t="n">
        <x:f>Construction!E28</x:f>
        <x:v>3672499.9999999995</x:v>
      </x:c>
      <x:c r="G28" s="449" t="n">
        <x:f>-Construction!G28</x:f>
        <x:v>-693908.3333333334</x:v>
      </x:c>
      <x:c r="H28" s="449" t="n">
        <x:f>-Construction!H28</x:f>
        <x:v>0</x:v>
      </x:c>
      <x:c r="I28" s="731" t="n">
        <x:f>0</x:f>
        <x:v>0</x:v>
      </x:c>
      <x:c r="J28" s="731" t="n">
        <x:f>0</x:f>
        <x:v>0</x:v>
      </x:c>
      <x:c r="K28" s="731" t="n">
        <x:f>0</x:f>
        <x:v>0</x:v>
      </x:c>
      <x:c r="L28" s="731" t="n">
        <x:f>0</x:f>
        <x:v>0</x:v>
      </x:c>
      <x:c r="M28" s="731" t="n">
        <x:f>SUM(E28,I28,K28)</x:f>
        <x:v>-6120833.333333333</x:v>
      </x:c>
      <x:c r="N28" s="731" t="n">
        <x:f>SUM(E28:L28)</x:f>
        <x:v>-3142241.666666667</x:v>
      </x:c>
    </x:row>
    <x:row r="29" ht="22.75" customHeight="1">
      <x:c r="A29" s="4"/>
      <x:c r="B29" s="5"/>
      <x:c r="C29" s="747">
        <x:v>22</x:v>
      </x:c>
      <x:c r="D29" s="453" t="s">
        <x:v>1122</x:v>
      </x:c>
      <x:c r="E29" s="452" t="n">
        <x:f>-Construction!D29</x:f>
        <x:v>-6120833.333333333</x:v>
      </x:c>
      <x:c r="F29" s="452" t="n">
        <x:f>Construction!E29</x:f>
        <x:v>3672499.9999999995</x:v>
      </x:c>
      <x:c r="G29" s="452" t="n">
        <x:f>-Construction!G29</x:f>
        <x:v>-718391.6666666666</x:v>
      </x:c>
      <x:c r="H29" s="452" t="n">
        <x:f>-Construction!H29</x:f>
        <x:v>0</x:v>
      </x:c>
      <x:c r="I29" s="732" t="n">
        <x:f>0</x:f>
        <x:v>0</x:v>
      </x:c>
      <x:c r="J29" s="732" t="n">
        <x:f>0</x:f>
        <x:v>0</x:v>
      </x:c>
      <x:c r="K29" s="732" t="n">
        <x:f>0</x:f>
        <x:v>0</x:v>
      </x:c>
      <x:c r="L29" s="732" t="n">
        <x:f>0</x:f>
        <x:v>0</x:v>
      </x:c>
      <x:c r="M29" s="732" t="n">
        <x:f>SUM(E29,I29,K29)</x:f>
        <x:v>-6120833.333333333</x:v>
      </x:c>
      <x:c r="N29" s="732" t="n">
        <x:f>SUM(E29:L29)</x:f>
        <x:v>-3166725</x:v>
      </x:c>
    </x:row>
    <x:row r="30" ht="22.75" customHeight="1">
      <x:c r="A30" s="4"/>
      <x:c r="B30" s="5"/>
      <x:c r="C30" s="748">
        <x:v>23</x:v>
      </x:c>
      <x:c r="D30" s="450" t="s">
        <x:v>1122</x:v>
      </x:c>
      <x:c r="E30" s="449" t="n">
        <x:f>-Construction!D30</x:f>
        <x:v>-6120833.333333333</x:v>
      </x:c>
      <x:c r="F30" s="449" t="n">
        <x:f>Construction!E30</x:f>
        <x:v>3672499.9999999995</x:v>
      </x:c>
      <x:c r="G30" s="449" t="n">
        <x:f>-Construction!G30</x:f>
        <x:v>-742875</x:v>
      </x:c>
      <x:c r="H30" s="449" t="n">
        <x:f>-Construction!H30</x:f>
        <x:v>0</x:v>
      </x:c>
      <x:c r="I30" s="731" t="n">
        <x:f>0</x:f>
        <x:v>0</x:v>
      </x:c>
      <x:c r="J30" s="731" t="n">
        <x:f>0</x:f>
        <x:v>0</x:v>
      </x:c>
      <x:c r="K30" s="731" t="n">
        <x:f>0</x:f>
        <x:v>0</x:v>
      </x:c>
      <x:c r="L30" s="731" t="n">
        <x:f>0</x:f>
        <x:v>0</x:v>
      </x:c>
      <x:c r="M30" s="731" t="n">
        <x:f>SUM(E30,I30,K30)</x:f>
        <x:v>-6120833.333333333</x:v>
      </x:c>
      <x:c r="N30" s="731" t="n">
        <x:f>SUM(E30:L30)</x:f>
        <x:v>-3191208.3333333335</x:v>
      </x:c>
    </x:row>
    <x:row r="31" ht="22.75" customHeight="1">
      <x:c r="A31" s="4"/>
      <x:c r="B31" s="5"/>
      <x:c r="C31" s="747">
        <x:v>24</x:v>
      </x:c>
      <x:c r="D31" s="453" t="s">
        <x:v>1122</x:v>
      </x:c>
      <x:c r="E31" s="452" t="n">
        <x:f>-Construction!D31</x:f>
        <x:v>-6120833.333333333</x:v>
      </x:c>
      <x:c r="F31" s="452" t="n">
        <x:f>Construction!E31</x:f>
        <x:v>3672499.9999999995</x:v>
      </x:c>
      <x:c r="G31" s="452" t="n">
        <x:f>-Construction!G31</x:f>
        <x:v>-767358.3333333334</x:v>
      </x:c>
      <x:c r="H31" s="452" t="n">
        <x:f>-Construction!H31</x:f>
        <x:v>0</x:v>
      </x:c>
      <x:c r="I31" s="732" t="n">
        <x:f>0</x:f>
        <x:v>0</x:v>
      </x:c>
      <x:c r="J31" s="732" t="n">
        <x:f>0</x:f>
        <x:v>0</x:v>
      </x:c>
      <x:c r="K31" s="732" t="n">
        <x:f>0</x:f>
        <x:v>0</x:v>
      </x:c>
      <x:c r="L31" s="732" t="n">
        <x:f>0</x:f>
        <x:v>0</x:v>
      </x:c>
      <x:c r="M31" s="732" t="n">
        <x:f>SUM(E31,I31,K31)</x:f>
        <x:v>-6120833.333333333</x:v>
      </x:c>
      <x:c r="N31" s="732" t="n">
        <x:f>SUM(E31:L31)</x:f>
        <x:v>-3215691.666666667</x:v>
      </x:c>
    </x:row>
    <x:row r="32" ht="22.75" customHeight="1">
      <x:c r="A32" s="4"/>
      <x:c r="B32" s="5"/>
      <x:c r="C32" s="748">
        <x:v>25</x:v>
      </x:c>
      <x:c r="D32" s="450" t="s">
        <x:v>1123</x:v>
      </x:c>
      <x:c r="E32" s="731" t="n">
        <x:f>0</x:f>
        <x:v>0</x:v>
      </x:c>
      <x:c r="F32" s="731" t="n">
        <x:f>0</x:f>
        <x:v>0</x:v>
      </x:c>
      <x:c r="G32" s="731" t="n">
        <x:f>0</x:f>
        <x:v>0</x:v>
      </x:c>
      <x:c r="H32" s="731" t="n">
        <x:f>0</x:f>
        <x:v>0</x:v>
      </x:c>
      <x:c r="I32" s="449" t="n">
        <x:f>Landlord!D23/Inputs!$D$16</x:f>
        <x:v>1562500</x:v>
      </x:c>
      <x:c r="J32" s="449" t="n">
        <x:f>Landlord!D24/Inputs!$D$16</x:f>
        <x:v>-682150.0000000001</x:v>
      </x:c>
      <x:c r="K32" s="731" t="n">
        <x:f>0</x:f>
        <x:v>0</x:v>
      </x:c>
      <x:c r="L32" s="731" t="n">
        <x:f>0</x:f>
        <x:v>0</x:v>
      </x:c>
      <x:c r="M32" s="731" t="n">
        <x:f>SUM(E32,I32,K32)</x:f>
        <x:v>1562500</x:v>
      </x:c>
      <x:c r="N32" s="731" t="n">
        <x:f>SUM(E32:L32)</x:f>
        <x:v>880349.9999999999</x:v>
      </x:c>
    </x:row>
    <x:row r="33" ht="22.75" customHeight="1">
      <x:c r="A33" s="4"/>
      <x:c r="B33" s="5"/>
      <x:c r="C33" s="747">
        <x:v>26</x:v>
      </x:c>
      <x:c r="D33" s="453" t="s">
        <x:v>1123</x:v>
      </x:c>
      <x:c r="E33" s="732" t="n">
        <x:f>0</x:f>
        <x:v>0</x:v>
      </x:c>
      <x:c r="F33" s="732" t="n">
        <x:f>0</x:f>
        <x:v>0</x:v>
      </x:c>
      <x:c r="G33" s="732" t="n">
        <x:f>0</x:f>
        <x:v>0</x:v>
      </x:c>
      <x:c r="H33" s="732" t="n">
        <x:f>0</x:f>
        <x:v>0</x:v>
      </x:c>
      <x:c r="I33" s="452" t="n">
        <x:f>Landlord!D23/Inputs!$D$16</x:f>
        <x:v>1562500</x:v>
      </x:c>
      <x:c r="J33" s="452" t="n">
        <x:f>Landlord!D24/Inputs!$D$16</x:f>
        <x:v>-682150.0000000001</x:v>
      </x:c>
      <x:c r="K33" s="732" t="n">
        <x:f>0</x:f>
        <x:v>0</x:v>
      </x:c>
      <x:c r="L33" s="732" t="n">
        <x:f>0</x:f>
        <x:v>0</x:v>
      </x:c>
      <x:c r="M33" s="732" t="n">
        <x:f>SUM(E33,I33,K33)</x:f>
        <x:v>1562500</x:v>
      </x:c>
      <x:c r="N33" s="732" t="n">
        <x:f>SUM(E33:L33)</x:f>
        <x:v>880349.9999999999</x:v>
      </x:c>
    </x:row>
    <x:row r="34" ht="22.75" customHeight="1">
      <x:c r="A34" s="4"/>
      <x:c r="B34" s="5"/>
      <x:c r="C34" s="748">
        <x:v>27</x:v>
      </x:c>
      <x:c r="D34" s="450" t="s">
        <x:v>1123</x:v>
      </x:c>
      <x:c r="E34" s="731" t="n">
        <x:f>0</x:f>
        <x:v>0</x:v>
      </x:c>
      <x:c r="F34" s="731" t="n">
        <x:f>0</x:f>
        <x:v>0</x:v>
      </x:c>
      <x:c r="G34" s="731" t="n">
        <x:f>0</x:f>
        <x:v>0</x:v>
      </x:c>
      <x:c r="H34" s="731" t="n">
        <x:f>0</x:f>
        <x:v>0</x:v>
      </x:c>
      <x:c r="I34" s="449" t="n">
        <x:f>Landlord!D23/Inputs!$D$16</x:f>
        <x:v>1562500</x:v>
      </x:c>
      <x:c r="J34" s="449" t="n">
        <x:f>Landlord!D24/Inputs!$D$16</x:f>
        <x:v>-682150.0000000001</x:v>
      </x:c>
      <x:c r="K34" s="731" t="n">
        <x:f>0</x:f>
        <x:v>0</x:v>
      </x:c>
      <x:c r="L34" s="731" t="n">
        <x:f>0</x:f>
        <x:v>0</x:v>
      </x:c>
      <x:c r="M34" s="731" t="n">
        <x:f>SUM(E34,I34,K34)</x:f>
        <x:v>1562500</x:v>
      </x:c>
      <x:c r="N34" s="731" t="n">
        <x:f>SUM(E34:L34)</x:f>
        <x:v>880349.9999999999</x:v>
      </x:c>
    </x:row>
    <x:row r="35" ht="22.75" customHeight="1">
      <x:c r="A35" s="4"/>
      <x:c r="B35" s="5"/>
      <x:c r="C35" s="747">
        <x:v>28</x:v>
      </x:c>
      <x:c r="D35" s="453" t="s">
        <x:v>1123</x:v>
      </x:c>
      <x:c r="E35" s="732" t="n">
        <x:f>0</x:f>
        <x:v>0</x:v>
      </x:c>
      <x:c r="F35" s="732" t="n">
        <x:f>0</x:f>
        <x:v>0</x:v>
      </x:c>
      <x:c r="G35" s="732" t="n">
        <x:f>0</x:f>
        <x:v>0</x:v>
      </x:c>
      <x:c r="H35" s="732" t="n">
        <x:f>0</x:f>
        <x:v>0</x:v>
      </x:c>
      <x:c r="I35" s="452" t="n">
        <x:f>Landlord!D23/Inputs!$D$16</x:f>
        <x:v>1562500</x:v>
      </x:c>
      <x:c r="J35" s="452" t="n">
        <x:f>Landlord!D24/Inputs!$D$16</x:f>
        <x:v>-682150.0000000001</x:v>
      </x:c>
      <x:c r="K35" s="732" t="n">
        <x:f>0</x:f>
        <x:v>0</x:v>
      </x:c>
      <x:c r="L35" s="732" t="n">
        <x:f>0</x:f>
        <x:v>0</x:v>
      </x:c>
      <x:c r="M35" s="732" t="n">
        <x:f>SUM(E35,I35,K35)</x:f>
        <x:v>1562500</x:v>
      </x:c>
      <x:c r="N35" s="732" t="n">
        <x:f>SUM(E35:L35)</x:f>
        <x:v>880349.9999999999</x:v>
      </x:c>
    </x:row>
    <x:row r="36" ht="22.75" customHeight="1">
      <x:c r="A36" s="4"/>
      <x:c r="B36" s="5"/>
      <x:c r="C36" s="748">
        <x:v>29</x:v>
      </x:c>
      <x:c r="D36" s="450" t="s">
        <x:v>1123</x:v>
      </x:c>
      <x:c r="E36" s="731" t="n">
        <x:f>0</x:f>
        <x:v>0</x:v>
      </x:c>
      <x:c r="F36" s="731" t="n">
        <x:f>0</x:f>
        <x:v>0</x:v>
      </x:c>
      <x:c r="G36" s="731" t="n">
        <x:f>0</x:f>
        <x:v>0</x:v>
      </x:c>
      <x:c r="H36" s="731" t="n">
        <x:f>0</x:f>
        <x:v>0</x:v>
      </x:c>
      <x:c r="I36" s="449" t="n">
        <x:f>Landlord!D23/Inputs!$D$16</x:f>
        <x:v>1562500</x:v>
      </x:c>
      <x:c r="J36" s="449" t="n">
        <x:f>Landlord!D24/Inputs!$D$16</x:f>
        <x:v>-682150.0000000001</x:v>
      </x:c>
      <x:c r="K36" s="731" t="n">
        <x:f>0</x:f>
        <x:v>0</x:v>
      </x:c>
      <x:c r="L36" s="731" t="n">
        <x:f>0</x:f>
        <x:v>0</x:v>
      </x:c>
      <x:c r="M36" s="731" t="n">
        <x:f>SUM(E36,I36,K36)</x:f>
        <x:v>1562500</x:v>
      </x:c>
      <x:c r="N36" s="731" t="n">
        <x:f>SUM(E36:L36)</x:f>
        <x:v>880349.9999999999</x:v>
      </x:c>
    </x:row>
    <x:row r="37" ht="22.75" customHeight="1">
      <x:c r="A37" s="4"/>
      <x:c r="B37" s="5"/>
      <x:c r="C37" s="747">
        <x:v>30</x:v>
      </x:c>
      <x:c r="D37" s="453" t="s">
        <x:v>1123</x:v>
      </x:c>
      <x:c r="E37" s="732" t="n">
        <x:f>0</x:f>
        <x:v>0</x:v>
      </x:c>
      <x:c r="F37" s="732" t="n">
        <x:f>0</x:f>
        <x:v>0</x:v>
      </x:c>
      <x:c r="G37" s="732" t="n">
        <x:f>0</x:f>
        <x:v>0</x:v>
      </x:c>
      <x:c r="H37" s="732" t="n">
        <x:f>0</x:f>
        <x:v>0</x:v>
      </x:c>
      <x:c r="I37" s="452" t="n">
        <x:f>Landlord!D23/Inputs!$D$16</x:f>
        <x:v>1562500</x:v>
      </x:c>
      <x:c r="J37" s="452" t="n">
        <x:f>Landlord!D24/Inputs!$D$16</x:f>
        <x:v>-682150.0000000001</x:v>
      </x:c>
      <x:c r="K37" s="732" t="n">
        <x:f>0</x:f>
        <x:v>0</x:v>
      </x:c>
      <x:c r="L37" s="732" t="n">
        <x:f>0</x:f>
        <x:v>0</x:v>
      </x:c>
      <x:c r="M37" s="732" t="n">
        <x:f>SUM(E37,I37,K37)</x:f>
        <x:v>1562500</x:v>
      </x:c>
      <x:c r="N37" s="732" t="n">
        <x:f>SUM(E37:L37)</x:f>
        <x:v>880349.9999999999</x:v>
      </x:c>
    </x:row>
    <x:row r="38" ht="22.75" customHeight="1">
      <x:c r="A38" s="4"/>
      <x:c r="B38" s="5"/>
      <x:c r="C38" s="748">
        <x:v>31</x:v>
      </x:c>
      <x:c r="D38" s="450" t="s">
        <x:v>1123</x:v>
      </x:c>
      <x:c r="E38" s="731" t="n">
        <x:f>0</x:f>
        <x:v>0</x:v>
      </x:c>
      <x:c r="F38" s="731" t="n">
        <x:f>0</x:f>
        <x:v>0</x:v>
      </x:c>
      <x:c r="G38" s="731" t="n">
        <x:f>0</x:f>
        <x:v>0</x:v>
      </x:c>
      <x:c r="H38" s="731" t="n">
        <x:f>0</x:f>
        <x:v>0</x:v>
      </x:c>
      <x:c r="I38" s="449" t="n">
        <x:f>Landlord!D23/Inputs!$D$16</x:f>
        <x:v>1562500</x:v>
      </x:c>
      <x:c r="J38" s="449" t="n">
        <x:f>Landlord!D24/Inputs!$D$16</x:f>
        <x:v>-682150.0000000001</x:v>
      </x:c>
      <x:c r="K38" s="731" t="n">
        <x:f>0</x:f>
        <x:v>0</x:v>
      </x:c>
      <x:c r="L38" s="731" t="n">
        <x:f>0</x:f>
        <x:v>0</x:v>
      </x:c>
      <x:c r="M38" s="731" t="n">
        <x:f>SUM(E38,I38,K38)</x:f>
        <x:v>1562500</x:v>
      </x:c>
      <x:c r="N38" s="731" t="n">
        <x:f>SUM(E38:L38)</x:f>
        <x:v>880349.9999999999</x:v>
      </x:c>
    </x:row>
    <x:row r="39" ht="22.75" customHeight="1">
      <x:c r="A39" s="4"/>
      <x:c r="B39" s="5"/>
      <x:c r="C39" s="747">
        <x:v>32</x:v>
      </x:c>
      <x:c r="D39" s="453" t="s">
        <x:v>1123</x:v>
      </x:c>
      <x:c r="E39" s="732" t="n">
        <x:f>0</x:f>
        <x:v>0</x:v>
      </x:c>
      <x:c r="F39" s="732" t="n">
        <x:f>0</x:f>
        <x:v>0</x:v>
      </x:c>
      <x:c r="G39" s="732" t="n">
        <x:f>0</x:f>
        <x:v>0</x:v>
      </x:c>
      <x:c r="H39" s="732" t="n">
        <x:f>0</x:f>
        <x:v>0</x:v>
      </x:c>
      <x:c r="I39" s="452" t="n">
        <x:f>Landlord!D23/Inputs!$D$16</x:f>
        <x:v>1562500</x:v>
      </x:c>
      <x:c r="J39" s="452" t="n">
        <x:f>Landlord!D24/Inputs!$D$16</x:f>
        <x:v>-682150.0000000001</x:v>
      </x:c>
      <x:c r="K39" s="732" t="n">
        <x:f>0</x:f>
        <x:v>0</x:v>
      </x:c>
      <x:c r="L39" s="732" t="n">
        <x:f>0</x:f>
        <x:v>0</x:v>
      </x:c>
      <x:c r="M39" s="732" t="n">
        <x:f>SUM(E39,I39,K39)</x:f>
        <x:v>1562500</x:v>
      </x:c>
      <x:c r="N39" s="732" t="n">
        <x:f>SUM(E39:L39)</x:f>
        <x:v>880349.9999999999</x:v>
      </x:c>
    </x:row>
    <x:row r="40" ht="22.75" customHeight="1">
      <x:c r="A40" s="4"/>
      <x:c r="B40" s="5"/>
      <x:c r="C40" s="748">
        <x:v>33</x:v>
      </x:c>
      <x:c r="D40" s="450" t="s">
        <x:v>1123</x:v>
      </x:c>
      <x:c r="E40" s="731" t="n">
        <x:f>0</x:f>
        <x:v>0</x:v>
      </x:c>
      <x:c r="F40" s="731" t="n">
        <x:f>0</x:f>
        <x:v>0</x:v>
      </x:c>
      <x:c r="G40" s="731" t="n">
        <x:f>0</x:f>
        <x:v>0</x:v>
      </x:c>
      <x:c r="H40" s="731" t="n">
        <x:f>0</x:f>
        <x:v>0</x:v>
      </x:c>
      <x:c r="I40" s="449" t="n">
        <x:f>Landlord!D23/Inputs!$D$16</x:f>
        <x:v>1562500</x:v>
      </x:c>
      <x:c r="J40" s="449" t="n">
        <x:f>Landlord!D24/Inputs!$D$16</x:f>
        <x:v>-682150.0000000001</x:v>
      </x:c>
      <x:c r="K40" s="731" t="n">
        <x:f>0</x:f>
        <x:v>0</x:v>
      </x:c>
      <x:c r="L40" s="731" t="n">
        <x:f>0</x:f>
        <x:v>0</x:v>
      </x:c>
      <x:c r="M40" s="731" t="n">
        <x:f>SUM(E40,I40,K40)</x:f>
        <x:v>1562500</x:v>
      </x:c>
      <x:c r="N40" s="731" t="n">
        <x:f>SUM(E40:L40)</x:f>
        <x:v>880349.9999999999</x:v>
      </x:c>
    </x:row>
    <x:row r="41" ht="22.75" customHeight="1">
      <x:c r="A41" s="4"/>
      <x:c r="B41" s="5"/>
      <x:c r="C41" s="747">
        <x:v>34</x:v>
      </x:c>
      <x:c r="D41" s="453" t="s">
        <x:v>1123</x:v>
      </x:c>
      <x:c r="E41" s="732" t="n">
        <x:f>0</x:f>
        <x:v>0</x:v>
      </x:c>
      <x:c r="F41" s="732" t="n">
        <x:f>0</x:f>
        <x:v>0</x:v>
      </x:c>
      <x:c r="G41" s="732" t="n">
        <x:f>0</x:f>
        <x:v>0</x:v>
      </x:c>
      <x:c r="H41" s="732" t="n">
        <x:f>0</x:f>
        <x:v>0</x:v>
      </x:c>
      <x:c r="I41" s="452" t="n">
        <x:f>Landlord!D23/Inputs!$D$16</x:f>
        <x:v>1562500</x:v>
      </x:c>
      <x:c r="J41" s="452" t="n">
        <x:f>Landlord!D24/Inputs!$D$16</x:f>
        <x:v>-682150.0000000001</x:v>
      </x:c>
      <x:c r="K41" s="732" t="n">
        <x:f>0</x:f>
        <x:v>0</x:v>
      </x:c>
      <x:c r="L41" s="732" t="n">
        <x:f>0</x:f>
        <x:v>0</x:v>
      </x:c>
      <x:c r="M41" s="732" t="n">
        <x:f>SUM(E41,I41,K41)</x:f>
        <x:v>1562500</x:v>
      </x:c>
      <x:c r="N41" s="732" t="n">
        <x:f>SUM(E41:L41)</x:f>
        <x:v>880349.9999999999</x:v>
      </x:c>
    </x:row>
    <x:row r="42" ht="22.75" customHeight="1">
      <x:c r="A42" s="4"/>
      <x:c r="B42" s="5"/>
      <x:c r="C42" s="748">
        <x:v>35</x:v>
      </x:c>
      <x:c r="D42" s="450" t="s">
        <x:v>1123</x:v>
      </x:c>
      <x:c r="E42" s="731" t="n">
        <x:f>0</x:f>
        <x:v>0</x:v>
      </x:c>
      <x:c r="F42" s="731" t="n">
        <x:f>0</x:f>
        <x:v>0</x:v>
      </x:c>
      <x:c r="G42" s="731" t="n">
        <x:f>0</x:f>
        <x:v>0</x:v>
      </x:c>
      <x:c r="H42" s="731" t="n">
        <x:f>0</x:f>
        <x:v>0</x:v>
      </x:c>
      <x:c r="I42" s="449" t="n">
        <x:f>Landlord!D23/Inputs!$D$16</x:f>
        <x:v>1562500</x:v>
      </x:c>
      <x:c r="J42" s="449" t="n">
        <x:f>Landlord!D24/Inputs!$D$16</x:f>
        <x:v>-682150.0000000001</x:v>
      </x:c>
      <x:c r="K42" s="731" t="n">
        <x:f>0</x:f>
        <x:v>0</x:v>
      </x:c>
      <x:c r="L42" s="731" t="n">
        <x:f>0</x:f>
        <x:v>0</x:v>
      </x:c>
      <x:c r="M42" s="731" t="n">
        <x:f>SUM(E42,I42,K42)</x:f>
        <x:v>1562500</x:v>
      </x:c>
      <x:c r="N42" s="731" t="n">
        <x:f>SUM(E42:L42)</x:f>
        <x:v>880349.9999999999</x:v>
      </x:c>
    </x:row>
    <x:row r="43" ht="22.75" customHeight="1">
      <x:c r="A43" s="4"/>
      <x:c r="B43" s="5"/>
      <x:c r="C43" s="747">
        <x:v>36</x:v>
      </x:c>
      <x:c r="D43" s="453" t="s">
        <x:v>1123</x:v>
      </x:c>
      <x:c r="E43" s="732" t="n">
        <x:f>0</x:f>
        <x:v>0</x:v>
      </x:c>
      <x:c r="F43" s="732" t="n">
        <x:f>0</x:f>
        <x:v>0</x:v>
      </x:c>
      <x:c r="G43" s="732" t="n">
        <x:f>0</x:f>
        <x:v>0</x:v>
      </x:c>
      <x:c r="H43" s="732" t="n">
        <x:f>0</x:f>
        <x:v>0</x:v>
      </x:c>
      <x:c r="I43" s="452" t="n">
        <x:f>Landlord!D23/Inputs!$D$16</x:f>
        <x:v>1562500</x:v>
      </x:c>
      <x:c r="J43" s="452" t="n">
        <x:f>Landlord!D24/Inputs!$D$16</x:f>
        <x:v>-682150.0000000001</x:v>
      </x:c>
      <x:c r="K43" s="732" t="n">
        <x:f>0</x:f>
        <x:v>0</x:v>
      </x:c>
      <x:c r="L43" s="732" t="n">
        <x:f>0</x:f>
        <x:v>0</x:v>
      </x:c>
      <x:c r="M43" s="732" t="n">
        <x:f>SUM(E43,I43,K43)</x:f>
        <x:v>1562500</x:v>
      </x:c>
      <x:c r="N43" s="732" t="n">
        <x:f>SUM(E43:L43)</x:f>
        <x:v>880349.9999999999</x:v>
      </x:c>
    </x:row>
    <x:row r="44" ht="22.75" customHeight="1">
      <x:c r="A44" s="4"/>
      <x:c r="B44" s="5"/>
      <x:c r="C44" s="748">
        <x:v>37</x:v>
      </x:c>
      <x:c r="D44" s="450" t="s">
        <x:v>1123</x:v>
      </x:c>
      <x:c r="E44" s="731" t="n">
        <x:f>0</x:f>
        <x:v>0</x:v>
      </x:c>
      <x:c r="F44" s="731" t="n">
        <x:f>0</x:f>
        <x:v>0</x:v>
      </x:c>
      <x:c r="G44" s="731" t="n">
        <x:f>0</x:f>
        <x:v>0</x:v>
      </x:c>
      <x:c r="H44" s="731" t="n">
        <x:f>0</x:f>
        <x:v>0</x:v>
      </x:c>
      <x:c r="I44" s="449" t="n">
        <x:f>Landlord!E23/Inputs!$D$16</x:f>
        <x:v>1598124.9999999993</x:v>
      </x:c>
      <x:c r="J44" s="449" t="n">
        <x:f>Landlord!E24/Inputs!$D$16</x:f>
        <x:v>-682150.0000000001</x:v>
      </x:c>
      <x:c r="K44" s="731" t="n">
        <x:f>0</x:f>
        <x:v>0</x:v>
      </x:c>
      <x:c r="L44" s="731" t="n">
        <x:f>0</x:f>
        <x:v>0</x:v>
      </x:c>
      <x:c r="M44" s="731" t="n">
        <x:f>SUM(E44,I44,K44)</x:f>
        <x:v>1598124.9999999993</x:v>
      </x:c>
      <x:c r="N44" s="731" t="n">
        <x:f>SUM(E44:L44)</x:f>
        <x:v>915974.9999999992</x:v>
      </x:c>
    </x:row>
    <x:row r="45" ht="22.75" customHeight="1">
      <x:c r="A45" s="4"/>
      <x:c r="B45" s="5"/>
      <x:c r="C45" s="747">
        <x:v>38</x:v>
      </x:c>
      <x:c r="D45" s="453" t="s">
        <x:v>1123</x:v>
      </x:c>
      <x:c r="E45" s="732" t="n">
        <x:f>0</x:f>
        <x:v>0</x:v>
      </x:c>
      <x:c r="F45" s="732" t="n">
        <x:f>0</x:f>
        <x:v>0</x:v>
      </x:c>
      <x:c r="G45" s="732" t="n">
        <x:f>0</x:f>
        <x:v>0</x:v>
      </x:c>
      <x:c r="H45" s="732" t="n">
        <x:f>0</x:f>
        <x:v>0</x:v>
      </x:c>
      <x:c r="I45" s="452" t="n">
        <x:f>Landlord!E23/Inputs!$D$16</x:f>
        <x:v>1598124.9999999993</x:v>
      </x:c>
      <x:c r="J45" s="452" t="n">
        <x:f>Landlord!E24/Inputs!$D$16</x:f>
        <x:v>-682150.0000000001</x:v>
      </x:c>
      <x:c r="K45" s="732" t="n">
        <x:f>0</x:f>
        <x:v>0</x:v>
      </x:c>
      <x:c r="L45" s="732" t="n">
        <x:f>0</x:f>
        <x:v>0</x:v>
      </x:c>
      <x:c r="M45" s="732" t="n">
        <x:f>SUM(E45,I45,K45)</x:f>
        <x:v>1598124.9999999993</x:v>
      </x:c>
      <x:c r="N45" s="732" t="n">
        <x:f>SUM(E45:L45)</x:f>
        <x:v>915974.9999999992</x:v>
      </x:c>
    </x:row>
    <x:row r="46" ht="22.75" customHeight="1">
      <x:c r="A46" s="4"/>
      <x:c r="B46" s="5"/>
      <x:c r="C46" s="748">
        <x:v>39</x:v>
      </x:c>
      <x:c r="D46" s="450" t="s">
        <x:v>1123</x:v>
      </x:c>
      <x:c r="E46" s="731" t="n">
        <x:f>0</x:f>
        <x:v>0</x:v>
      </x:c>
      <x:c r="F46" s="731" t="n">
        <x:f>0</x:f>
        <x:v>0</x:v>
      </x:c>
      <x:c r="G46" s="731" t="n">
        <x:f>0</x:f>
        <x:v>0</x:v>
      </x:c>
      <x:c r="H46" s="731" t="n">
        <x:f>0</x:f>
        <x:v>0</x:v>
      </x:c>
      <x:c r="I46" s="449" t="n">
        <x:f>Landlord!E23/Inputs!$D$16</x:f>
        <x:v>1598124.9999999993</x:v>
      </x:c>
      <x:c r="J46" s="449" t="n">
        <x:f>Landlord!E24/Inputs!$D$16</x:f>
        <x:v>-682150.0000000001</x:v>
      </x:c>
      <x:c r="K46" s="731" t="n">
        <x:f>0</x:f>
        <x:v>0</x:v>
      </x:c>
      <x:c r="L46" s="731" t="n">
        <x:f>0</x:f>
        <x:v>0</x:v>
      </x:c>
      <x:c r="M46" s="731" t="n">
        <x:f>SUM(E46,I46,K46)</x:f>
        <x:v>1598124.9999999993</x:v>
      </x:c>
      <x:c r="N46" s="731" t="n">
        <x:f>SUM(E46:L46)</x:f>
        <x:v>915974.9999999992</x:v>
      </x:c>
    </x:row>
    <x:row r="47" ht="22.75" customHeight="1">
      <x:c r="A47" s="4"/>
      <x:c r="B47" s="5"/>
      <x:c r="C47" s="747">
        <x:v>40</x:v>
      </x:c>
      <x:c r="D47" s="453" t="s">
        <x:v>1123</x:v>
      </x:c>
      <x:c r="E47" s="732" t="n">
        <x:f>0</x:f>
        <x:v>0</x:v>
      </x:c>
      <x:c r="F47" s="732" t="n">
        <x:f>0</x:f>
        <x:v>0</x:v>
      </x:c>
      <x:c r="G47" s="732" t="n">
        <x:f>0</x:f>
        <x:v>0</x:v>
      </x:c>
      <x:c r="H47" s="732" t="n">
        <x:f>0</x:f>
        <x:v>0</x:v>
      </x:c>
      <x:c r="I47" s="452" t="n">
        <x:f>Landlord!E23/Inputs!$D$16</x:f>
        <x:v>1598124.9999999993</x:v>
      </x:c>
      <x:c r="J47" s="452" t="n">
        <x:f>Landlord!E24/Inputs!$D$16</x:f>
        <x:v>-682150.0000000001</x:v>
      </x:c>
      <x:c r="K47" s="732" t="n">
        <x:f>0</x:f>
        <x:v>0</x:v>
      </x:c>
      <x:c r="L47" s="732" t="n">
        <x:f>0</x:f>
        <x:v>0</x:v>
      </x:c>
      <x:c r="M47" s="732" t="n">
        <x:f>SUM(E47,I47,K47)</x:f>
        <x:v>1598124.9999999993</x:v>
      </x:c>
      <x:c r="N47" s="732" t="n">
        <x:f>SUM(E47:L47)</x:f>
        <x:v>915974.9999999992</x:v>
      </x:c>
    </x:row>
    <x:row r="48" ht="22.75" customHeight="1">
      <x:c r="A48" s="4"/>
      <x:c r="B48" s="5"/>
      <x:c r="C48" s="748">
        <x:v>41</x:v>
      </x:c>
      <x:c r="D48" s="450" t="s">
        <x:v>1123</x:v>
      </x:c>
      <x:c r="E48" s="731" t="n">
        <x:f>0</x:f>
        <x:v>0</x:v>
      </x:c>
      <x:c r="F48" s="731" t="n">
        <x:f>0</x:f>
        <x:v>0</x:v>
      </x:c>
      <x:c r="G48" s="731" t="n">
        <x:f>0</x:f>
        <x:v>0</x:v>
      </x:c>
      <x:c r="H48" s="731" t="n">
        <x:f>0</x:f>
        <x:v>0</x:v>
      </x:c>
      <x:c r="I48" s="449" t="n">
        <x:f>Landlord!E23/Inputs!$D$16</x:f>
        <x:v>1598124.9999999993</x:v>
      </x:c>
      <x:c r="J48" s="449" t="n">
        <x:f>Landlord!E24/Inputs!$D$16</x:f>
        <x:v>-682150.0000000001</x:v>
      </x:c>
      <x:c r="K48" s="731" t="n">
        <x:f>0</x:f>
        <x:v>0</x:v>
      </x:c>
      <x:c r="L48" s="731" t="n">
        <x:f>0</x:f>
        <x:v>0</x:v>
      </x:c>
      <x:c r="M48" s="731" t="n">
        <x:f>SUM(E48,I48,K48)</x:f>
        <x:v>1598124.9999999993</x:v>
      </x:c>
      <x:c r="N48" s="731" t="n">
        <x:f>SUM(E48:L48)</x:f>
        <x:v>915974.9999999992</x:v>
      </x:c>
    </x:row>
    <x:row r="49" ht="22.75" customHeight="1">
      <x:c r="A49" s="4"/>
      <x:c r="B49" s="5"/>
      <x:c r="C49" s="747">
        <x:v>42</x:v>
      </x:c>
      <x:c r="D49" s="453" t="s">
        <x:v>1123</x:v>
      </x:c>
      <x:c r="E49" s="732" t="n">
        <x:f>0</x:f>
        <x:v>0</x:v>
      </x:c>
      <x:c r="F49" s="732" t="n">
        <x:f>0</x:f>
        <x:v>0</x:v>
      </x:c>
      <x:c r="G49" s="732" t="n">
        <x:f>0</x:f>
        <x:v>0</x:v>
      </x:c>
      <x:c r="H49" s="732" t="n">
        <x:f>0</x:f>
        <x:v>0</x:v>
      </x:c>
      <x:c r="I49" s="452" t="n">
        <x:f>Landlord!E23/Inputs!$D$16</x:f>
        <x:v>1598124.9999999993</x:v>
      </x:c>
      <x:c r="J49" s="452" t="n">
        <x:f>Landlord!E24/Inputs!$D$16</x:f>
        <x:v>-682150.0000000001</x:v>
      </x:c>
      <x:c r="K49" s="732" t="n">
        <x:f>0</x:f>
        <x:v>0</x:v>
      </x:c>
      <x:c r="L49" s="732" t="n">
        <x:f>0</x:f>
        <x:v>0</x:v>
      </x:c>
      <x:c r="M49" s="732" t="n">
        <x:f>SUM(E49,I49,K49)</x:f>
        <x:v>1598124.9999999993</x:v>
      </x:c>
      <x:c r="N49" s="732" t="n">
        <x:f>SUM(E49:L49)</x:f>
        <x:v>915974.9999999992</x:v>
      </x:c>
    </x:row>
    <x:row r="50" ht="22.75" customHeight="1">
      <x:c r="A50" s="4"/>
      <x:c r="B50" s="5"/>
      <x:c r="C50" s="748">
        <x:v>43</x:v>
      </x:c>
      <x:c r="D50" s="450" t="s">
        <x:v>1123</x:v>
      </x:c>
      <x:c r="E50" s="731" t="n">
        <x:f>0</x:f>
        <x:v>0</x:v>
      </x:c>
      <x:c r="F50" s="731" t="n">
        <x:f>0</x:f>
        <x:v>0</x:v>
      </x:c>
      <x:c r="G50" s="731" t="n">
        <x:f>0</x:f>
        <x:v>0</x:v>
      </x:c>
      <x:c r="H50" s="731" t="n">
        <x:f>0</x:f>
        <x:v>0</x:v>
      </x:c>
      <x:c r="I50" s="449" t="n">
        <x:f>Landlord!E23/Inputs!$D$16</x:f>
        <x:v>1598124.9999999993</x:v>
      </x:c>
      <x:c r="J50" s="449" t="n">
        <x:f>Landlord!E24/Inputs!$D$16</x:f>
        <x:v>-682150.0000000001</x:v>
      </x:c>
      <x:c r="K50" s="731" t="n">
        <x:f>0</x:f>
        <x:v>0</x:v>
      </x:c>
      <x:c r="L50" s="731" t="n">
        <x:f>0</x:f>
        <x:v>0</x:v>
      </x:c>
      <x:c r="M50" s="731" t="n">
        <x:f>SUM(E50,I50,K50)</x:f>
        <x:v>1598124.9999999993</x:v>
      </x:c>
      <x:c r="N50" s="731" t="n">
        <x:f>SUM(E50:L50)</x:f>
        <x:v>915974.9999999992</x:v>
      </x:c>
    </x:row>
    <x:row r="51" ht="22.75" customHeight="1">
      <x:c r="A51" s="4"/>
      <x:c r="B51" s="5"/>
      <x:c r="C51" s="747">
        <x:v>44</x:v>
      </x:c>
      <x:c r="D51" s="453" t="s">
        <x:v>1123</x:v>
      </x:c>
      <x:c r="E51" s="732" t="n">
        <x:f>0</x:f>
        <x:v>0</x:v>
      </x:c>
      <x:c r="F51" s="732" t="n">
        <x:f>0</x:f>
        <x:v>0</x:v>
      </x:c>
      <x:c r="G51" s="732" t="n">
        <x:f>0</x:f>
        <x:v>0</x:v>
      </x:c>
      <x:c r="H51" s="732" t="n">
        <x:f>0</x:f>
        <x:v>0</x:v>
      </x:c>
      <x:c r="I51" s="452" t="n">
        <x:f>Landlord!E23/Inputs!$D$16</x:f>
        <x:v>1598124.9999999993</x:v>
      </x:c>
      <x:c r="J51" s="452" t="n">
        <x:f>Landlord!E24/Inputs!$D$16</x:f>
        <x:v>-682150.0000000001</x:v>
      </x:c>
      <x:c r="K51" s="732" t="n">
        <x:f>0</x:f>
        <x:v>0</x:v>
      </x:c>
      <x:c r="L51" s="732" t="n">
        <x:f>0</x:f>
        <x:v>0</x:v>
      </x:c>
      <x:c r="M51" s="732" t="n">
        <x:f>SUM(E51,I51,K51)</x:f>
        <x:v>1598124.9999999993</x:v>
      </x:c>
      <x:c r="N51" s="732" t="n">
        <x:f>SUM(E51:L51)</x:f>
        <x:v>915974.9999999992</x:v>
      </x:c>
    </x:row>
    <x:row r="52" ht="22.75" customHeight="1">
      <x:c r="A52" s="4"/>
      <x:c r="B52" s="5"/>
      <x:c r="C52" s="748">
        <x:v>45</x:v>
      </x:c>
      <x:c r="D52" s="450" t="s">
        <x:v>1123</x:v>
      </x:c>
      <x:c r="E52" s="731" t="n">
        <x:f>0</x:f>
        <x:v>0</x:v>
      </x:c>
      <x:c r="F52" s="731" t="n">
        <x:f>0</x:f>
        <x:v>0</x:v>
      </x:c>
      <x:c r="G52" s="731" t="n">
        <x:f>0</x:f>
        <x:v>0</x:v>
      </x:c>
      <x:c r="H52" s="731" t="n">
        <x:f>0</x:f>
        <x:v>0</x:v>
      </x:c>
      <x:c r="I52" s="449" t="n">
        <x:f>Landlord!E23/Inputs!$D$16</x:f>
        <x:v>1598124.9999999993</x:v>
      </x:c>
      <x:c r="J52" s="449" t="n">
        <x:f>Landlord!E24/Inputs!$D$16</x:f>
        <x:v>-682150.0000000001</x:v>
      </x:c>
      <x:c r="K52" s="731" t="n">
        <x:f>0</x:f>
        <x:v>0</x:v>
      </x:c>
      <x:c r="L52" s="731" t="n">
        <x:f>0</x:f>
        <x:v>0</x:v>
      </x:c>
      <x:c r="M52" s="731" t="n">
        <x:f>SUM(E52,I52,K52)</x:f>
        <x:v>1598124.9999999993</x:v>
      </x:c>
      <x:c r="N52" s="731" t="n">
        <x:f>SUM(E52:L52)</x:f>
        <x:v>915974.9999999992</x:v>
      </x:c>
    </x:row>
    <x:row r="53" ht="22.75" customHeight="1">
      <x:c r="A53" s="4"/>
      <x:c r="B53" s="5"/>
      <x:c r="C53" s="747">
        <x:v>46</x:v>
      </x:c>
      <x:c r="D53" s="453" t="s">
        <x:v>1123</x:v>
      </x:c>
      <x:c r="E53" s="732" t="n">
        <x:f>0</x:f>
        <x:v>0</x:v>
      </x:c>
      <x:c r="F53" s="732" t="n">
        <x:f>0</x:f>
        <x:v>0</x:v>
      </x:c>
      <x:c r="G53" s="732" t="n">
        <x:f>0</x:f>
        <x:v>0</x:v>
      </x:c>
      <x:c r="H53" s="732" t="n">
        <x:f>0</x:f>
        <x:v>0</x:v>
      </x:c>
      <x:c r="I53" s="452" t="n">
        <x:f>Landlord!E23/Inputs!$D$16</x:f>
        <x:v>1598124.9999999993</x:v>
      </x:c>
      <x:c r="J53" s="452" t="n">
        <x:f>Landlord!E24/Inputs!$D$16</x:f>
        <x:v>-682150.0000000001</x:v>
      </x:c>
      <x:c r="K53" s="732" t="n">
        <x:f>0</x:f>
        <x:v>0</x:v>
      </x:c>
      <x:c r="L53" s="732" t="n">
        <x:f>0</x:f>
        <x:v>0</x:v>
      </x:c>
      <x:c r="M53" s="732" t="n">
        <x:f>SUM(E53,I53,K53)</x:f>
        <x:v>1598124.9999999993</x:v>
      </x:c>
      <x:c r="N53" s="732" t="n">
        <x:f>SUM(E53:L53)</x:f>
        <x:v>915974.9999999992</x:v>
      </x:c>
    </x:row>
    <x:row r="54" ht="22.75" customHeight="1">
      <x:c r="A54" s="4"/>
      <x:c r="B54" s="5"/>
      <x:c r="C54" s="748">
        <x:v>47</x:v>
      </x:c>
      <x:c r="D54" s="450" t="s">
        <x:v>1123</x:v>
      </x:c>
      <x:c r="E54" s="731" t="n">
        <x:f>0</x:f>
        <x:v>0</x:v>
      </x:c>
      <x:c r="F54" s="731" t="n">
        <x:f>0</x:f>
        <x:v>0</x:v>
      </x:c>
      <x:c r="G54" s="731" t="n">
        <x:f>0</x:f>
        <x:v>0</x:v>
      </x:c>
      <x:c r="H54" s="731" t="n">
        <x:f>0</x:f>
        <x:v>0</x:v>
      </x:c>
      <x:c r="I54" s="449" t="n">
        <x:f>Landlord!E23/Inputs!$D$16</x:f>
        <x:v>1598124.9999999993</x:v>
      </x:c>
      <x:c r="J54" s="449" t="n">
        <x:f>Landlord!E24/Inputs!$D$16</x:f>
        <x:v>-682150.0000000001</x:v>
      </x:c>
      <x:c r="K54" s="731" t="n">
        <x:f>0</x:f>
        <x:v>0</x:v>
      </x:c>
      <x:c r="L54" s="731" t="n">
        <x:f>0</x:f>
        <x:v>0</x:v>
      </x:c>
      <x:c r="M54" s="731" t="n">
        <x:f>SUM(E54,I54,K54)</x:f>
        <x:v>1598124.9999999993</x:v>
      </x:c>
      <x:c r="N54" s="731" t="n">
        <x:f>SUM(E54:L54)</x:f>
        <x:v>915974.9999999992</x:v>
      </x:c>
    </x:row>
    <x:row r="55" ht="22.75" customHeight="1">
      <x:c r="A55" s="4"/>
      <x:c r="B55" s="5"/>
      <x:c r="C55" s="747">
        <x:v>48</x:v>
      </x:c>
      <x:c r="D55" s="453" t="s">
        <x:v>1123</x:v>
      </x:c>
      <x:c r="E55" s="732" t="n">
        <x:f>0</x:f>
        <x:v>0</x:v>
      </x:c>
      <x:c r="F55" s="732" t="n">
        <x:f>0</x:f>
        <x:v>0</x:v>
      </x:c>
      <x:c r="G55" s="732" t="n">
        <x:f>0</x:f>
        <x:v>0</x:v>
      </x:c>
      <x:c r="H55" s="732" t="n">
        <x:f>0</x:f>
        <x:v>0</x:v>
      </x:c>
      <x:c r="I55" s="452" t="n">
        <x:f>Landlord!E23/Inputs!$D$16</x:f>
        <x:v>1598124.9999999993</x:v>
      </x:c>
      <x:c r="J55" s="452" t="n">
        <x:f>Landlord!E24/Inputs!$D$16</x:f>
        <x:v>-682150.0000000001</x:v>
      </x:c>
      <x:c r="K55" s="732" t="n">
        <x:f>0</x:f>
        <x:v>0</x:v>
      </x:c>
      <x:c r="L55" s="732" t="n">
        <x:f>0</x:f>
        <x:v>0</x:v>
      </x:c>
      <x:c r="M55" s="732" t="n">
        <x:f>SUM(E55,I55,K55)</x:f>
        <x:v>1598124.9999999993</x:v>
      </x:c>
      <x:c r="N55" s="732" t="n">
        <x:f>SUM(E55:L55)</x:f>
        <x:v>915974.9999999992</x:v>
      </x:c>
    </x:row>
    <x:row r="56" ht="22.75" customHeight="1">
      <x:c r="A56" s="4"/>
      <x:c r="B56" s="5"/>
      <x:c r="C56" s="748">
        <x:v>49</x:v>
      </x:c>
      <x:c r="D56" s="450" t="s">
        <x:v>1123</x:v>
      </x:c>
      <x:c r="E56" s="731" t="n">
        <x:f>0</x:f>
        <x:v>0</x:v>
      </x:c>
      <x:c r="F56" s="731" t="n">
        <x:f>0</x:f>
        <x:v>0</x:v>
      </x:c>
      <x:c r="G56" s="731" t="n">
        <x:f>0</x:f>
        <x:v>0</x:v>
      </x:c>
      <x:c r="H56" s="731" t="n">
        <x:f>0</x:f>
        <x:v>0</x:v>
      </x:c>
      <x:c r="I56" s="449" t="n">
        <x:f>Landlord!F23/Inputs!$D$16</x:f>
        <x:v>1634537.499999999</x:v>
      </x:c>
      <x:c r="J56" s="449" t="n">
        <x:f>Landlord!F24/Inputs!$D$16</x:f>
        <x:v>-682150.0000000001</x:v>
      </x:c>
      <x:c r="K56" s="731" t="n">
        <x:f>0</x:f>
        <x:v>0</x:v>
      </x:c>
      <x:c r="L56" s="731" t="n">
        <x:f>0</x:f>
        <x:v>0</x:v>
      </x:c>
      <x:c r="M56" s="731" t="n">
        <x:f>SUM(E56,I56,K56)</x:f>
        <x:v>1634537.499999999</x:v>
      </x:c>
      <x:c r="N56" s="731" t="n">
        <x:f>SUM(E56:L56)</x:f>
        <x:v>952387.499999999</x:v>
      </x:c>
    </x:row>
    <x:row r="57" ht="22.75" customHeight="1">
      <x:c r="A57" s="4"/>
      <x:c r="B57" s="5"/>
      <x:c r="C57" s="747">
        <x:v>50</x:v>
      </x:c>
      <x:c r="D57" s="453" t="s">
        <x:v>1123</x:v>
      </x:c>
      <x:c r="E57" s="732" t="n">
        <x:f>0</x:f>
        <x:v>0</x:v>
      </x:c>
      <x:c r="F57" s="732" t="n">
        <x:f>0</x:f>
        <x:v>0</x:v>
      </x:c>
      <x:c r="G57" s="732" t="n">
        <x:f>0</x:f>
        <x:v>0</x:v>
      </x:c>
      <x:c r="H57" s="732" t="n">
        <x:f>0</x:f>
        <x:v>0</x:v>
      </x:c>
      <x:c r="I57" s="452" t="n">
        <x:f>Landlord!F23/Inputs!$D$16</x:f>
        <x:v>1634537.499999999</x:v>
      </x:c>
      <x:c r="J57" s="452" t="n">
        <x:f>Landlord!F24/Inputs!$D$16</x:f>
        <x:v>-682150.0000000001</x:v>
      </x:c>
      <x:c r="K57" s="732" t="n">
        <x:f>0</x:f>
        <x:v>0</x:v>
      </x:c>
      <x:c r="L57" s="732" t="n">
        <x:f>0</x:f>
        <x:v>0</x:v>
      </x:c>
      <x:c r="M57" s="732" t="n">
        <x:f>SUM(E57,I57,K57)</x:f>
        <x:v>1634537.499999999</x:v>
      </x:c>
      <x:c r="N57" s="732" t="n">
        <x:f>SUM(E57:L57)</x:f>
        <x:v>952387.499999999</x:v>
      </x:c>
    </x:row>
    <x:row r="58" ht="22.75" customHeight="1">
      <x:c r="A58" s="4"/>
      <x:c r="B58" s="5"/>
      <x:c r="C58" s="748">
        <x:v>51</x:v>
      </x:c>
      <x:c r="D58" s="450" t="s">
        <x:v>1123</x:v>
      </x:c>
      <x:c r="E58" s="731" t="n">
        <x:f>0</x:f>
        <x:v>0</x:v>
      </x:c>
      <x:c r="F58" s="731" t="n">
        <x:f>0</x:f>
        <x:v>0</x:v>
      </x:c>
      <x:c r="G58" s="731" t="n">
        <x:f>0</x:f>
        <x:v>0</x:v>
      </x:c>
      <x:c r="H58" s="731" t="n">
        <x:f>0</x:f>
        <x:v>0</x:v>
      </x:c>
      <x:c r="I58" s="449" t="n">
        <x:f>Landlord!F23/Inputs!$D$16</x:f>
        <x:v>1634537.499999999</x:v>
      </x:c>
      <x:c r="J58" s="449" t="n">
        <x:f>Landlord!F24/Inputs!$D$16</x:f>
        <x:v>-682150.0000000001</x:v>
      </x:c>
      <x:c r="K58" s="731" t="n">
        <x:f>0</x:f>
        <x:v>0</x:v>
      </x:c>
      <x:c r="L58" s="731" t="n">
        <x:f>0</x:f>
        <x:v>0</x:v>
      </x:c>
      <x:c r="M58" s="731" t="n">
        <x:f>SUM(E58,I58,K58)</x:f>
        <x:v>1634537.499999999</x:v>
      </x:c>
      <x:c r="N58" s="731" t="n">
        <x:f>SUM(E58:L58)</x:f>
        <x:v>952387.499999999</x:v>
      </x:c>
    </x:row>
    <x:row r="59" ht="22.75" customHeight="1">
      <x:c r="A59" s="4"/>
      <x:c r="B59" s="5"/>
      <x:c r="C59" s="747">
        <x:v>52</x:v>
      </x:c>
      <x:c r="D59" s="453" t="s">
        <x:v>1123</x:v>
      </x:c>
      <x:c r="E59" s="732" t="n">
        <x:f>0</x:f>
        <x:v>0</x:v>
      </x:c>
      <x:c r="F59" s="732" t="n">
        <x:f>0</x:f>
        <x:v>0</x:v>
      </x:c>
      <x:c r="G59" s="732" t="n">
        <x:f>0</x:f>
        <x:v>0</x:v>
      </x:c>
      <x:c r="H59" s="732" t="n">
        <x:f>0</x:f>
        <x:v>0</x:v>
      </x:c>
      <x:c r="I59" s="452" t="n">
        <x:f>Landlord!F23/Inputs!$D$16</x:f>
        <x:v>1634537.499999999</x:v>
      </x:c>
      <x:c r="J59" s="452" t="n">
        <x:f>Landlord!F24/Inputs!$D$16</x:f>
        <x:v>-682150.0000000001</x:v>
      </x:c>
      <x:c r="K59" s="732" t="n">
        <x:f>0</x:f>
        <x:v>0</x:v>
      </x:c>
      <x:c r="L59" s="732" t="n">
        <x:f>0</x:f>
        <x:v>0</x:v>
      </x:c>
      <x:c r="M59" s="732" t="n">
        <x:f>SUM(E59,I59,K59)</x:f>
        <x:v>1634537.499999999</x:v>
      </x:c>
      <x:c r="N59" s="732" t="n">
        <x:f>SUM(E59:L59)</x:f>
        <x:v>952387.499999999</x:v>
      </x:c>
    </x:row>
    <x:row r="60" ht="22.75" customHeight="1">
      <x:c r="A60" s="4"/>
      <x:c r="B60" s="5"/>
      <x:c r="C60" s="748">
        <x:v>53</x:v>
      </x:c>
      <x:c r="D60" s="450" t="s">
        <x:v>1123</x:v>
      </x:c>
      <x:c r="E60" s="731" t="n">
        <x:f>0</x:f>
        <x:v>0</x:v>
      </x:c>
      <x:c r="F60" s="731" t="n">
        <x:f>0</x:f>
        <x:v>0</x:v>
      </x:c>
      <x:c r="G60" s="731" t="n">
        <x:f>0</x:f>
        <x:v>0</x:v>
      </x:c>
      <x:c r="H60" s="731" t="n">
        <x:f>0</x:f>
        <x:v>0</x:v>
      </x:c>
      <x:c r="I60" s="449" t="n">
        <x:f>Landlord!F23/Inputs!$D$16</x:f>
        <x:v>1634537.499999999</x:v>
      </x:c>
      <x:c r="J60" s="449" t="n">
        <x:f>Landlord!F24/Inputs!$D$16</x:f>
        <x:v>-682150.0000000001</x:v>
      </x:c>
      <x:c r="K60" s="731" t="n">
        <x:f>0</x:f>
        <x:v>0</x:v>
      </x:c>
      <x:c r="L60" s="731" t="n">
        <x:f>0</x:f>
        <x:v>0</x:v>
      </x:c>
      <x:c r="M60" s="731" t="n">
        <x:f>SUM(E60,I60,K60)</x:f>
        <x:v>1634537.499999999</x:v>
      </x:c>
      <x:c r="N60" s="731" t="n">
        <x:f>SUM(E60:L60)</x:f>
        <x:v>952387.499999999</x:v>
      </x:c>
    </x:row>
    <x:row r="61" ht="22.75" customHeight="1">
      <x:c r="A61" s="4"/>
      <x:c r="B61" s="5"/>
      <x:c r="C61" s="747">
        <x:v>54</x:v>
      </x:c>
      <x:c r="D61" s="453" t="s">
        <x:v>1123</x:v>
      </x:c>
      <x:c r="E61" s="732" t="n">
        <x:f>0</x:f>
        <x:v>0</x:v>
      </x:c>
      <x:c r="F61" s="732" t="n">
        <x:f>0</x:f>
        <x:v>0</x:v>
      </x:c>
      <x:c r="G61" s="732" t="n">
        <x:f>0</x:f>
        <x:v>0</x:v>
      </x:c>
      <x:c r="H61" s="732" t="n">
        <x:f>0</x:f>
        <x:v>0</x:v>
      </x:c>
      <x:c r="I61" s="452" t="n">
        <x:f>Landlord!F23/Inputs!$D$16</x:f>
        <x:v>1634537.499999999</x:v>
      </x:c>
      <x:c r="J61" s="452" t="n">
        <x:f>Landlord!F24/Inputs!$D$16</x:f>
        <x:v>-682150.0000000001</x:v>
      </x:c>
      <x:c r="K61" s="732" t="n">
        <x:f>0</x:f>
        <x:v>0</x:v>
      </x:c>
      <x:c r="L61" s="732" t="n">
        <x:f>0</x:f>
        <x:v>0</x:v>
      </x:c>
      <x:c r="M61" s="732" t="n">
        <x:f>SUM(E61,I61,K61)</x:f>
        <x:v>1634537.499999999</x:v>
      </x:c>
      <x:c r="N61" s="732" t="n">
        <x:f>SUM(E61:L61)</x:f>
        <x:v>952387.499999999</x:v>
      </x:c>
    </x:row>
    <x:row r="62" ht="22.75" customHeight="1">
      <x:c r="A62" s="4"/>
      <x:c r="B62" s="5"/>
      <x:c r="C62" s="748">
        <x:v>55</x:v>
      </x:c>
      <x:c r="D62" s="450" t="s">
        <x:v>1123</x:v>
      </x:c>
      <x:c r="E62" s="731" t="n">
        <x:f>0</x:f>
        <x:v>0</x:v>
      </x:c>
      <x:c r="F62" s="731" t="n">
        <x:f>0</x:f>
        <x:v>0</x:v>
      </x:c>
      <x:c r="G62" s="731" t="n">
        <x:f>0</x:f>
        <x:v>0</x:v>
      </x:c>
      <x:c r="H62" s="731" t="n">
        <x:f>0</x:f>
        <x:v>0</x:v>
      </x:c>
      <x:c r="I62" s="449" t="n">
        <x:f>Landlord!F23/Inputs!$D$16</x:f>
        <x:v>1634537.499999999</x:v>
      </x:c>
      <x:c r="J62" s="449" t="n">
        <x:f>Landlord!F24/Inputs!$D$16</x:f>
        <x:v>-682150.0000000001</x:v>
      </x:c>
      <x:c r="K62" s="731" t="n">
        <x:f>0</x:f>
        <x:v>0</x:v>
      </x:c>
      <x:c r="L62" s="731" t="n">
        <x:f>0</x:f>
        <x:v>0</x:v>
      </x:c>
      <x:c r="M62" s="731" t="n">
        <x:f>SUM(E62,I62,K62)</x:f>
        <x:v>1634537.499999999</x:v>
      </x:c>
      <x:c r="N62" s="731" t="n">
        <x:f>SUM(E62:L62)</x:f>
        <x:v>952387.499999999</x:v>
      </x:c>
    </x:row>
    <x:row r="63" ht="22.75" customHeight="1">
      <x:c r="A63" s="4"/>
      <x:c r="B63" s="5"/>
      <x:c r="C63" s="747">
        <x:v>56</x:v>
      </x:c>
      <x:c r="D63" s="453" t="s">
        <x:v>1123</x:v>
      </x:c>
      <x:c r="E63" s="732" t="n">
        <x:f>0</x:f>
        <x:v>0</x:v>
      </x:c>
      <x:c r="F63" s="732" t="n">
        <x:f>0</x:f>
        <x:v>0</x:v>
      </x:c>
      <x:c r="G63" s="732" t="n">
        <x:f>0</x:f>
        <x:v>0</x:v>
      </x:c>
      <x:c r="H63" s="732" t="n">
        <x:f>0</x:f>
        <x:v>0</x:v>
      </x:c>
      <x:c r="I63" s="452" t="n">
        <x:f>Landlord!F23/Inputs!$D$16</x:f>
        <x:v>1634537.499999999</x:v>
      </x:c>
      <x:c r="J63" s="452" t="n">
        <x:f>Landlord!F24/Inputs!$D$16</x:f>
        <x:v>-682150.0000000001</x:v>
      </x:c>
      <x:c r="K63" s="732" t="n">
        <x:f>0</x:f>
        <x:v>0</x:v>
      </x:c>
      <x:c r="L63" s="732" t="n">
        <x:f>0</x:f>
        <x:v>0</x:v>
      </x:c>
      <x:c r="M63" s="732" t="n">
        <x:f>SUM(E63,I63,K63)</x:f>
        <x:v>1634537.499999999</x:v>
      </x:c>
      <x:c r="N63" s="732" t="n">
        <x:f>SUM(E63:L63)</x:f>
        <x:v>952387.499999999</x:v>
      </x:c>
    </x:row>
    <x:row r="64" ht="22.75" customHeight="1">
      <x:c r="A64" s="4"/>
      <x:c r="B64" s="5"/>
      <x:c r="C64" s="748">
        <x:v>57</x:v>
      </x:c>
      <x:c r="D64" s="450" t="s">
        <x:v>1123</x:v>
      </x:c>
      <x:c r="E64" s="731" t="n">
        <x:f>0</x:f>
        <x:v>0</x:v>
      </x:c>
      <x:c r="F64" s="731" t="n">
        <x:f>0</x:f>
        <x:v>0</x:v>
      </x:c>
      <x:c r="G64" s="731" t="n">
        <x:f>0</x:f>
        <x:v>0</x:v>
      </x:c>
      <x:c r="H64" s="731" t="n">
        <x:f>0</x:f>
        <x:v>0</x:v>
      </x:c>
      <x:c r="I64" s="449" t="n">
        <x:f>Landlord!F23/Inputs!$D$16</x:f>
        <x:v>1634537.499999999</x:v>
      </x:c>
      <x:c r="J64" s="449" t="n">
        <x:f>Landlord!F24/Inputs!$D$16</x:f>
        <x:v>-682150.0000000001</x:v>
      </x:c>
      <x:c r="K64" s="731" t="n">
        <x:f>0</x:f>
        <x:v>0</x:v>
      </x:c>
      <x:c r="L64" s="731" t="n">
        <x:f>0</x:f>
        <x:v>0</x:v>
      </x:c>
      <x:c r="M64" s="731" t="n">
        <x:f>SUM(E64,I64,K64)</x:f>
        <x:v>1634537.499999999</x:v>
      </x:c>
      <x:c r="N64" s="731" t="n">
        <x:f>SUM(E64:L64)</x:f>
        <x:v>952387.499999999</x:v>
      </x:c>
    </x:row>
    <x:row r="65" ht="22.75" customHeight="1">
      <x:c r="A65" s="4"/>
      <x:c r="B65" s="5"/>
      <x:c r="C65" s="747">
        <x:v>58</x:v>
      </x:c>
      <x:c r="D65" s="453" t="s">
        <x:v>1123</x:v>
      </x:c>
      <x:c r="E65" s="732" t="n">
        <x:f>0</x:f>
        <x:v>0</x:v>
      </x:c>
      <x:c r="F65" s="732" t="n">
        <x:f>0</x:f>
        <x:v>0</x:v>
      </x:c>
      <x:c r="G65" s="732" t="n">
        <x:f>0</x:f>
        <x:v>0</x:v>
      </x:c>
      <x:c r="H65" s="732" t="n">
        <x:f>0</x:f>
        <x:v>0</x:v>
      </x:c>
      <x:c r="I65" s="452" t="n">
        <x:f>Landlord!F23/Inputs!$D$16</x:f>
        <x:v>1634537.499999999</x:v>
      </x:c>
      <x:c r="J65" s="452" t="n">
        <x:f>Landlord!F24/Inputs!$D$16</x:f>
        <x:v>-682150.0000000001</x:v>
      </x:c>
      <x:c r="K65" s="732" t="n">
        <x:f>0</x:f>
        <x:v>0</x:v>
      </x:c>
      <x:c r="L65" s="732" t="n">
        <x:f>0</x:f>
        <x:v>0</x:v>
      </x:c>
      <x:c r="M65" s="732" t="n">
        <x:f>SUM(E65,I65,K65)</x:f>
        <x:v>1634537.499999999</x:v>
      </x:c>
      <x:c r="N65" s="732" t="n">
        <x:f>SUM(E65:L65)</x:f>
        <x:v>952387.499999999</x:v>
      </x:c>
    </x:row>
    <x:row r="66" ht="22.75" customHeight="1">
      <x:c r="A66" s="4"/>
      <x:c r="B66" s="5"/>
      <x:c r="C66" s="748">
        <x:v>59</x:v>
      </x:c>
      <x:c r="D66" s="450" t="s">
        <x:v>1123</x:v>
      </x:c>
      <x:c r="E66" s="731" t="n">
        <x:f>0</x:f>
        <x:v>0</x:v>
      </x:c>
      <x:c r="F66" s="731" t="n">
        <x:f>0</x:f>
        <x:v>0</x:v>
      </x:c>
      <x:c r="G66" s="731" t="n">
        <x:f>0</x:f>
        <x:v>0</x:v>
      </x:c>
      <x:c r="H66" s="731" t="n">
        <x:f>0</x:f>
        <x:v>0</x:v>
      </x:c>
      <x:c r="I66" s="449" t="n">
        <x:f>Landlord!F23/Inputs!$D$16</x:f>
        <x:v>1634537.499999999</x:v>
      </x:c>
      <x:c r="J66" s="449" t="n">
        <x:f>Landlord!F24/Inputs!$D$16</x:f>
        <x:v>-682150.0000000001</x:v>
      </x:c>
      <x:c r="K66" s="731" t="n">
        <x:f>0</x:f>
        <x:v>0</x:v>
      </x:c>
      <x:c r="L66" s="731" t="n">
        <x:f>0</x:f>
        <x:v>0</x:v>
      </x:c>
      <x:c r="M66" s="731" t="n">
        <x:f>SUM(E66,I66,K66)</x:f>
        <x:v>1634537.499999999</x:v>
      </x:c>
      <x:c r="N66" s="731" t="n">
        <x:f>SUM(E66:L66)</x:f>
        <x:v>952387.499999999</x:v>
      </x:c>
    </x:row>
    <x:row r="67" ht="22.75" customHeight="1">
      <x:c r="A67" s="4"/>
      <x:c r="B67" s="5"/>
      <x:c r="C67" s="747">
        <x:v>60</x:v>
      </x:c>
      <x:c r="D67" s="453" t="s">
        <x:v>1123</x:v>
      </x:c>
      <x:c r="E67" s="732" t="n">
        <x:f>0</x:f>
        <x:v>0</x:v>
      </x:c>
      <x:c r="F67" s="732" t="n">
        <x:f>0</x:f>
        <x:v>0</x:v>
      </x:c>
      <x:c r="G67" s="732" t="n">
        <x:f>0</x:f>
        <x:v>0</x:v>
      </x:c>
      <x:c r="H67" s="732" t="n">
        <x:f>0</x:f>
        <x:v>0</x:v>
      </x:c>
      <x:c r="I67" s="452" t="n">
        <x:f>Landlord!F23/Inputs!$D$16</x:f>
        <x:v>1634537.499999999</x:v>
      </x:c>
      <x:c r="J67" s="452" t="n">
        <x:f>Landlord!F24/Inputs!$D$16</x:f>
        <x:v>-682150.0000000001</x:v>
      </x:c>
      <x:c r="K67" s="732" t="n">
        <x:f>0</x:f>
        <x:v>0</x:v>
      </x:c>
      <x:c r="L67" s="732" t="n">
        <x:f>0</x:f>
        <x:v>0</x:v>
      </x:c>
      <x:c r="M67" s="732" t="n">
        <x:f>SUM(E67,I67,K67)</x:f>
        <x:v>1634537.499999999</x:v>
      </x:c>
      <x:c r="N67" s="732" t="n">
        <x:f>SUM(E67:L67)</x:f>
        <x:v>952387.499999999</x:v>
      </x:c>
    </x:row>
    <x:row r="68" ht="22.75" customHeight="1">
      <x:c r="A68" s="4"/>
      <x:c r="B68" s="5"/>
      <x:c r="C68" s="748">
        <x:v>61</x:v>
      </x:c>
      <x:c r="D68" s="450" t="s">
        <x:v>1123</x:v>
      </x:c>
      <x:c r="E68" s="731" t="n">
        <x:f>0</x:f>
        <x:v>0</x:v>
      </x:c>
      <x:c r="F68" s="731" t="n">
        <x:f>0</x:f>
        <x:v>0</x:v>
      </x:c>
      <x:c r="G68" s="731" t="n">
        <x:f>0</x:f>
        <x:v>0</x:v>
      </x:c>
      <x:c r="H68" s="731" t="n">
        <x:f>0</x:f>
        <x:v>0</x:v>
      </x:c>
      <x:c r="I68" s="449" t="n">
        <x:f>Landlord!G23/Inputs!$D$16</x:f>
        <x:v>1671754.0937499998</x:v>
      </x:c>
      <x:c r="J68" s="449" t="n">
        <x:f>Landlord!G24/Inputs!$D$16</x:f>
        <x:v>-682150.0000000001</x:v>
      </x:c>
      <x:c r="K68" s="731" t="n">
        <x:f>0</x:f>
        <x:v>0</x:v>
      </x:c>
      <x:c r="L68" s="731" t="n">
        <x:f>0</x:f>
        <x:v>0</x:v>
      </x:c>
      <x:c r="M68" s="731" t="n">
        <x:f>SUM(E68,I68,K68)</x:f>
        <x:v>1671754.0937499998</x:v>
      </x:c>
      <x:c r="N68" s="731" t="n">
        <x:f>SUM(E68:L68)</x:f>
        <x:v>989604.0937499997</x:v>
      </x:c>
    </x:row>
    <x:row r="69" ht="22.75" customHeight="1">
      <x:c r="A69" s="4"/>
      <x:c r="B69" s="5"/>
      <x:c r="C69" s="747">
        <x:v>62</x:v>
      </x:c>
      <x:c r="D69" s="453" t="s">
        <x:v>1123</x:v>
      </x:c>
      <x:c r="E69" s="732" t="n">
        <x:f>0</x:f>
        <x:v>0</x:v>
      </x:c>
      <x:c r="F69" s="732" t="n">
        <x:f>0</x:f>
        <x:v>0</x:v>
      </x:c>
      <x:c r="G69" s="732" t="n">
        <x:f>0</x:f>
        <x:v>0</x:v>
      </x:c>
      <x:c r="H69" s="732" t="n">
        <x:f>0</x:f>
        <x:v>0</x:v>
      </x:c>
      <x:c r="I69" s="452" t="n">
        <x:f>Landlord!G23/Inputs!$D$16</x:f>
        <x:v>1671754.0937499998</x:v>
      </x:c>
      <x:c r="J69" s="452" t="n">
        <x:f>Landlord!G24/Inputs!$D$16</x:f>
        <x:v>-682150.0000000001</x:v>
      </x:c>
      <x:c r="K69" s="732" t="n">
        <x:f>0</x:f>
        <x:v>0</x:v>
      </x:c>
      <x:c r="L69" s="732" t="n">
        <x:f>0</x:f>
        <x:v>0</x:v>
      </x:c>
      <x:c r="M69" s="732" t="n">
        <x:f>SUM(E69,I69,K69)</x:f>
        <x:v>1671754.0937499998</x:v>
      </x:c>
      <x:c r="N69" s="732" t="n">
        <x:f>SUM(E69:L69)</x:f>
        <x:v>989604.0937499997</x:v>
      </x:c>
    </x:row>
    <x:row r="70" ht="22.75" customHeight="1">
      <x:c r="A70" s="4"/>
      <x:c r="B70" s="5"/>
      <x:c r="C70" s="748">
        <x:v>63</x:v>
      </x:c>
      <x:c r="D70" s="450" t="s">
        <x:v>1123</x:v>
      </x:c>
      <x:c r="E70" s="731" t="n">
        <x:f>0</x:f>
        <x:v>0</x:v>
      </x:c>
      <x:c r="F70" s="731" t="n">
        <x:f>0</x:f>
        <x:v>0</x:v>
      </x:c>
      <x:c r="G70" s="731" t="n">
        <x:f>0</x:f>
        <x:v>0</x:v>
      </x:c>
      <x:c r="H70" s="731" t="n">
        <x:f>0</x:f>
        <x:v>0</x:v>
      </x:c>
      <x:c r="I70" s="449" t="n">
        <x:f>Landlord!G23/Inputs!$D$16</x:f>
        <x:v>1671754.0937499998</x:v>
      </x:c>
      <x:c r="J70" s="449" t="n">
        <x:f>Landlord!G24/Inputs!$D$16</x:f>
        <x:v>-682150.0000000001</x:v>
      </x:c>
      <x:c r="K70" s="731" t="n">
        <x:f>0</x:f>
        <x:v>0</x:v>
      </x:c>
      <x:c r="L70" s="731" t="n">
        <x:f>0</x:f>
        <x:v>0</x:v>
      </x:c>
      <x:c r="M70" s="731" t="n">
        <x:f>SUM(E70,I70,K70)</x:f>
        <x:v>1671754.0937499998</x:v>
      </x:c>
      <x:c r="N70" s="731" t="n">
        <x:f>SUM(E70:L70)</x:f>
        <x:v>989604.0937499997</x:v>
      </x:c>
    </x:row>
    <x:row r="71" ht="22.75" customHeight="1">
      <x:c r="A71" s="4"/>
      <x:c r="B71" s="5"/>
      <x:c r="C71" s="747">
        <x:v>64</x:v>
      </x:c>
      <x:c r="D71" s="453" t="s">
        <x:v>1123</x:v>
      </x:c>
      <x:c r="E71" s="732" t="n">
        <x:f>0</x:f>
        <x:v>0</x:v>
      </x:c>
      <x:c r="F71" s="732" t="n">
        <x:f>0</x:f>
        <x:v>0</x:v>
      </x:c>
      <x:c r="G71" s="732" t="n">
        <x:f>0</x:f>
        <x:v>0</x:v>
      </x:c>
      <x:c r="H71" s="732" t="n">
        <x:f>0</x:f>
        <x:v>0</x:v>
      </x:c>
      <x:c r="I71" s="452" t="n">
        <x:f>Landlord!G23/Inputs!$D$16</x:f>
        <x:v>1671754.0937499998</x:v>
      </x:c>
      <x:c r="J71" s="452" t="n">
        <x:f>Landlord!G24/Inputs!$D$16</x:f>
        <x:v>-682150.0000000001</x:v>
      </x:c>
      <x:c r="K71" s="732" t="n">
        <x:f>0</x:f>
        <x:v>0</x:v>
      </x:c>
      <x:c r="L71" s="732" t="n">
        <x:f>0</x:f>
        <x:v>0</x:v>
      </x:c>
      <x:c r="M71" s="732" t="n">
        <x:f>SUM(E71,I71,K71)</x:f>
        <x:v>1671754.0937499998</x:v>
      </x:c>
      <x:c r="N71" s="732" t="n">
        <x:f>SUM(E71:L71)</x:f>
        <x:v>989604.0937499997</x:v>
      </x:c>
    </x:row>
    <x:row r="72" ht="22.75" customHeight="1">
      <x:c r="A72" s="4"/>
      <x:c r="B72" s="5"/>
      <x:c r="C72" s="748">
        <x:v>65</x:v>
      </x:c>
      <x:c r="D72" s="450" t="s">
        <x:v>1123</x:v>
      </x:c>
      <x:c r="E72" s="731" t="n">
        <x:f>0</x:f>
        <x:v>0</x:v>
      </x:c>
      <x:c r="F72" s="731" t="n">
        <x:f>0</x:f>
        <x:v>0</x:v>
      </x:c>
      <x:c r="G72" s="731" t="n">
        <x:f>0</x:f>
        <x:v>0</x:v>
      </x:c>
      <x:c r="H72" s="731" t="n">
        <x:f>0</x:f>
        <x:v>0</x:v>
      </x:c>
      <x:c r="I72" s="449" t="n">
        <x:f>Landlord!G23/Inputs!$D$16</x:f>
        <x:v>1671754.0937499998</x:v>
      </x:c>
      <x:c r="J72" s="449" t="n">
        <x:f>Landlord!G24/Inputs!$D$16</x:f>
        <x:v>-682150.0000000001</x:v>
      </x:c>
      <x:c r="K72" s="731" t="n">
        <x:f>0</x:f>
        <x:v>0</x:v>
      </x:c>
      <x:c r="L72" s="731" t="n">
        <x:f>0</x:f>
        <x:v>0</x:v>
      </x:c>
      <x:c r="M72" s="731" t="n">
        <x:f>SUM(E72,I72,K72)</x:f>
        <x:v>1671754.0937499998</x:v>
      </x:c>
      <x:c r="N72" s="731" t="n">
        <x:f>SUM(E72:L72)</x:f>
        <x:v>989604.0937499997</x:v>
      </x:c>
    </x:row>
    <x:row r="73" ht="22.75" customHeight="1">
      <x:c r="A73" s="4"/>
      <x:c r="B73" s="5"/>
      <x:c r="C73" s="747">
        <x:v>66</x:v>
      </x:c>
      <x:c r="D73" s="453" t="s">
        <x:v>1123</x:v>
      </x:c>
      <x:c r="E73" s="732" t="n">
        <x:f>0</x:f>
        <x:v>0</x:v>
      </x:c>
      <x:c r="F73" s="732" t="n">
        <x:f>0</x:f>
        <x:v>0</x:v>
      </x:c>
      <x:c r="G73" s="732" t="n">
        <x:f>0</x:f>
        <x:v>0</x:v>
      </x:c>
      <x:c r="H73" s="732" t="n">
        <x:f>0</x:f>
        <x:v>0</x:v>
      </x:c>
      <x:c r="I73" s="452" t="n">
        <x:f>Landlord!G23/Inputs!$D$16</x:f>
        <x:v>1671754.0937499998</x:v>
      </x:c>
      <x:c r="J73" s="452" t="n">
        <x:f>Landlord!G24/Inputs!$D$16</x:f>
        <x:v>-682150.0000000001</x:v>
      </x:c>
      <x:c r="K73" s="732" t="n">
        <x:f>0</x:f>
        <x:v>0</x:v>
      </x:c>
      <x:c r="L73" s="732" t="n">
        <x:f>0</x:f>
        <x:v>0</x:v>
      </x:c>
      <x:c r="M73" s="732" t="n">
        <x:f>SUM(E73,I73,K73)</x:f>
        <x:v>1671754.0937499998</x:v>
      </x:c>
      <x:c r="N73" s="732" t="n">
        <x:f>SUM(E73:L73)</x:f>
        <x:v>989604.0937499997</x:v>
      </x:c>
    </x:row>
    <x:row r="74" ht="22.75" customHeight="1">
      <x:c r="A74" s="4"/>
      <x:c r="B74" s="5"/>
      <x:c r="C74" s="748">
        <x:v>67</x:v>
      </x:c>
      <x:c r="D74" s="450" t="s">
        <x:v>1123</x:v>
      </x:c>
      <x:c r="E74" s="731" t="n">
        <x:f>0</x:f>
        <x:v>0</x:v>
      </x:c>
      <x:c r="F74" s="731" t="n">
        <x:f>0</x:f>
        <x:v>0</x:v>
      </x:c>
      <x:c r="G74" s="731" t="n">
        <x:f>0</x:f>
        <x:v>0</x:v>
      </x:c>
      <x:c r="H74" s="731" t="n">
        <x:f>0</x:f>
        <x:v>0</x:v>
      </x:c>
      <x:c r="I74" s="449" t="n">
        <x:f>Landlord!G23/Inputs!$D$16</x:f>
        <x:v>1671754.0937499998</x:v>
      </x:c>
      <x:c r="J74" s="449" t="n">
        <x:f>Landlord!G24/Inputs!$D$16</x:f>
        <x:v>-682150.0000000001</x:v>
      </x:c>
      <x:c r="K74" s="731" t="n">
        <x:f>0</x:f>
        <x:v>0</x:v>
      </x:c>
      <x:c r="L74" s="731" t="n">
        <x:f>0</x:f>
        <x:v>0</x:v>
      </x:c>
      <x:c r="M74" s="731" t="n">
        <x:f>SUM(E74,I74,K74)</x:f>
        <x:v>1671754.0937499998</x:v>
      </x:c>
      <x:c r="N74" s="731" t="n">
        <x:f>SUM(E74:L74)</x:f>
        <x:v>989604.0937499997</x:v>
      </x:c>
    </x:row>
    <x:row r="75" ht="22.75" customHeight="1">
      <x:c r="A75" s="4"/>
      <x:c r="B75" s="5"/>
      <x:c r="C75" s="747">
        <x:v>68</x:v>
      </x:c>
      <x:c r="D75" s="453" t="s">
        <x:v>1123</x:v>
      </x:c>
      <x:c r="E75" s="732" t="n">
        <x:f>0</x:f>
        <x:v>0</x:v>
      </x:c>
      <x:c r="F75" s="732" t="n">
        <x:f>0</x:f>
        <x:v>0</x:v>
      </x:c>
      <x:c r="G75" s="732" t="n">
        <x:f>0</x:f>
        <x:v>0</x:v>
      </x:c>
      <x:c r="H75" s="732" t="n">
        <x:f>0</x:f>
        <x:v>0</x:v>
      </x:c>
      <x:c r="I75" s="452" t="n">
        <x:f>Landlord!G23/Inputs!$D$16</x:f>
        <x:v>1671754.0937499998</x:v>
      </x:c>
      <x:c r="J75" s="452" t="n">
        <x:f>Landlord!G24/Inputs!$D$16</x:f>
        <x:v>-682150.0000000001</x:v>
      </x:c>
      <x:c r="K75" s="732" t="n">
        <x:f>0</x:f>
        <x:v>0</x:v>
      </x:c>
      <x:c r="L75" s="732" t="n">
        <x:f>0</x:f>
        <x:v>0</x:v>
      </x:c>
      <x:c r="M75" s="732" t="n">
        <x:f>SUM(E75,I75,K75)</x:f>
        <x:v>1671754.0937499998</x:v>
      </x:c>
      <x:c r="N75" s="732" t="n">
        <x:f>SUM(E75:L75)</x:f>
        <x:v>989604.0937499997</x:v>
      </x:c>
    </x:row>
    <x:row r="76" ht="22.75" customHeight="1">
      <x:c r="A76" s="4"/>
      <x:c r="B76" s="5"/>
      <x:c r="C76" s="748">
        <x:v>69</x:v>
      </x:c>
      <x:c r="D76" s="450" t="s">
        <x:v>1123</x:v>
      </x:c>
      <x:c r="E76" s="731" t="n">
        <x:f>0</x:f>
        <x:v>0</x:v>
      </x:c>
      <x:c r="F76" s="731" t="n">
        <x:f>0</x:f>
        <x:v>0</x:v>
      </x:c>
      <x:c r="G76" s="731" t="n">
        <x:f>0</x:f>
        <x:v>0</x:v>
      </x:c>
      <x:c r="H76" s="731" t="n">
        <x:f>0</x:f>
        <x:v>0</x:v>
      </x:c>
      <x:c r="I76" s="449" t="n">
        <x:f>Landlord!G23/Inputs!$D$16</x:f>
        <x:v>1671754.0937499998</x:v>
      </x:c>
      <x:c r="J76" s="449" t="n">
        <x:f>Landlord!G24/Inputs!$D$16</x:f>
        <x:v>-682150.0000000001</x:v>
      </x:c>
      <x:c r="K76" s="731" t="n">
        <x:f>0</x:f>
        <x:v>0</x:v>
      </x:c>
      <x:c r="L76" s="731" t="n">
        <x:f>0</x:f>
        <x:v>0</x:v>
      </x:c>
      <x:c r="M76" s="731" t="n">
        <x:f>SUM(E76,I76,K76)</x:f>
        <x:v>1671754.0937499998</x:v>
      </x:c>
      <x:c r="N76" s="731" t="n">
        <x:f>SUM(E76:L76)</x:f>
        <x:v>989604.0937499997</x:v>
      </x:c>
    </x:row>
    <x:row r="77" ht="22.75" customHeight="1">
      <x:c r="A77" s="4"/>
      <x:c r="B77" s="5"/>
      <x:c r="C77" s="747">
        <x:v>70</x:v>
      </x:c>
      <x:c r="D77" s="453" t="s">
        <x:v>1123</x:v>
      </x:c>
      <x:c r="E77" s="732" t="n">
        <x:f>0</x:f>
        <x:v>0</x:v>
      </x:c>
      <x:c r="F77" s="732" t="n">
        <x:f>0</x:f>
        <x:v>0</x:v>
      </x:c>
      <x:c r="G77" s="732" t="n">
        <x:f>0</x:f>
        <x:v>0</x:v>
      </x:c>
      <x:c r="H77" s="732" t="n">
        <x:f>0</x:f>
        <x:v>0</x:v>
      </x:c>
      <x:c r="I77" s="452" t="n">
        <x:f>Landlord!G23/Inputs!$D$16</x:f>
        <x:v>1671754.0937499998</x:v>
      </x:c>
      <x:c r="J77" s="452" t="n">
        <x:f>Landlord!G24/Inputs!$D$16</x:f>
        <x:v>-682150.0000000001</x:v>
      </x:c>
      <x:c r="K77" s="732" t="n">
        <x:f>0</x:f>
        <x:v>0</x:v>
      </x:c>
      <x:c r="L77" s="732" t="n">
        <x:f>0</x:f>
        <x:v>0</x:v>
      </x:c>
      <x:c r="M77" s="732" t="n">
        <x:f>SUM(E77,I77,K77)</x:f>
        <x:v>1671754.0937499998</x:v>
      </x:c>
      <x:c r="N77" s="732" t="n">
        <x:f>SUM(E77:L77)</x:f>
        <x:v>989604.0937499997</x:v>
      </x:c>
    </x:row>
    <x:row r="78" ht="22.75" customHeight="1">
      <x:c r="A78" s="4"/>
      <x:c r="B78" s="5"/>
      <x:c r="C78" s="748">
        <x:v>71</x:v>
      </x:c>
      <x:c r="D78" s="450" t="s">
        <x:v>1123</x:v>
      </x:c>
      <x:c r="E78" s="731" t="n">
        <x:f>0</x:f>
        <x:v>0</x:v>
      </x:c>
      <x:c r="F78" s="731" t="n">
        <x:f>0</x:f>
        <x:v>0</x:v>
      </x:c>
      <x:c r="G78" s="731" t="n">
        <x:f>0</x:f>
        <x:v>0</x:v>
      </x:c>
      <x:c r="H78" s="731" t="n">
        <x:f>0</x:f>
        <x:v>0</x:v>
      </x:c>
      <x:c r="I78" s="449" t="n">
        <x:f>Landlord!G23/Inputs!$D$16</x:f>
        <x:v>1671754.0937499998</x:v>
      </x:c>
      <x:c r="J78" s="449" t="n">
        <x:f>Landlord!G24/Inputs!$D$16</x:f>
        <x:v>-682150.0000000001</x:v>
      </x:c>
      <x:c r="K78" s="731" t="n">
        <x:f>0</x:f>
        <x:v>0</x:v>
      </x:c>
      <x:c r="L78" s="731" t="n">
        <x:f>0</x:f>
        <x:v>0</x:v>
      </x:c>
      <x:c r="M78" s="731" t="n">
        <x:f>SUM(E78,I78,K78)</x:f>
        <x:v>1671754.0937499998</x:v>
      </x:c>
      <x:c r="N78" s="731" t="n">
        <x:f>SUM(E78:L78)</x:f>
        <x:v>989604.0937499997</x:v>
      </x:c>
    </x:row>
    <x:row r="79" ht="22.75" customHeight="1">
      <x:c r="A79" s="4"/>
      <x:c r="B79" s="5"/>
      <x:c r="C79" s="747">
        <x:v>72</x:v>
      </x:c>
      <x:c r="D79" s="453" t="s">
        <x:v>1123</x:v>
      </x:c>
      <x:c r="E79" s="732" t="n">
        <x:f>0</x:f>
        <x:v>0</x:v>
      </x:c>
      <x:c r="F79" s="732" t="n">
        <x:f>0</x:f>
        <x:v>0</x:v>
      </x:c>
      <x:c r="G79" s="732" t="n">
        <x:f>0</x:f>
        <x:v>0</x:v>
      </x:c>
      <x:c r="H79" s="732" t="n">
        <x:f>0</x:f>
        <x:v>0</x:v>
      </x:c>
      <x:c r="I79" s="452" t="n">
        <x:f>Landlord!G23/Inputs!$D$16</x:f>
        <x:v>1671754.0937499998</x:v>
      </x:c>
      <x:c r="J79" s="452" t="n">
        <x:f>Landlord!G24/Inputs!$D$16</x:f>
        <x:v>-682150.0000000001</x:v>
      </x:c>
      <x:c r="K79" s="732" t="n">
        <x:f>0</x:f>
        <x:v>0</x:v>
      </x:c>
      <x:c r="L79" s="732" t="n">
        <x:f>0</x:f>
        <x:v>0</x:v>
      </x:c>
      <x:c r="M79" s="732" t="n">
        <x:f>SUM(E79,I79,K79)</x:f>
        <x:v>1671754.0937499998</x:v>
      </x:c>
      <x:c r="N79" s="732" t="n">
        <x:f>SUM(E79:L79)</x:f>
        <x:v>989604.0937499997</x:v>
      </x:c>
    </x:row>
    <x:row r="80" ht="22.75" customHeight="1">
      <x:c r="A80" s="4"/>
      <x:c r="B80" s="5"/>
      <x:c r="C80" s="748">
        <x:v>73</x:v>
      </x:c>
      <x:c r="D80" s="450" t="s">
        <x:v>1123</x:v>
      </x:c>
      <x:c r="E80" s="731" t="n">
        <x:f>0</x:f>
        <x:v>0</x:v>
      </x:c>
      <x:c r="F80" s="731" t="n">
        <x:f>0</x:f>
        <x:v>0</x:v>
      </x:c>
      <x:c r="G80" s="731" t="n">
        <x:f>0</x:f>
        <x:v>0</x:v>
      </x:c>
      <x:c r="H80" s="731" t="n">
        <x:f>0</x:f>
        <x:v>0</x:v>
      </x:c>
      <x:c r="I80" s="449" t="n">
        <x:f>Landlord!H23/Inputs!$D$16</x:f>
        <x:v>1709791.6970312493</x:v>
      </x:c>
      <x:c r="J80" s="449" t="n">
        <x:f>Landlord!H24/Inputs!$D$16</x:f>
        <x:v>-682150.0000000001</x:v>
      </x:c>
      <x:c r="K80" s="731" t="n">
        <x:f>0</x:f>
        <x:v>0</x:v>
      </x:c>
      <x:c r="L80" s="731" t="n">
        <x:f>0</x:f>
        <x:v>0</x:v>
      </x:c>
      <x:c r="M80" s="731" t="n">
        <x:f>SUM(E80,I80,K80)</x:f>
        <x:v>1709791.6970312493</x:v>
      </x:c>
      <x:c r="N80" s="731" t="n">
        <x:f>SUM(E80:L80)</x:f>
        <x:v>1027641.6970312492</x:v>
      </x:c>
    </x:row>
    <x:row r="81" ht="22.75" customHeight="1">
      <x:c r="A81" s="4"/>
      <x:c r="B81" s="5"/>
      <x:c r="C81" s="63">
        <x:v>74</x:v>
      </x:c>
      <x:c r="D81" s="5" t="s">
        <x:v>1123</x:v>
      </x:c>
      <x:c r="E81" s="10" t="n">
        <x:f>0</x:f>
        <x:v>0</x:v>
      </x:c>
      <x:c r="F81" s="10" t="n">
        <x:f>0</x:f>
        <x:v>0</x:v>
      </x:c>
      <x:c r="G81" s="10" t="n">
        <x:f>0</x:f>
        <x:v>0</x:v>
      </x:c>
      <x:c r="H81" s="10" t="n">
        <x:f>0</x:f>
        <x:v>0</x:v>
      </x:c>
      <x:c r="I81" s="27" t="n">
        <x:f>Landlord!H23/Inputs!$D$16</x:f>
        <x:v>1709791.6970312493</x:v>
      </x:c>
      <x:c r="J81" s="27" t="n">
        <x:f>Landlord!H24/Inputs!$D$16</x:f>
        <x:v>-682150.0000000001</x:v>
      </x:c>
      <x:c r="K81" s="10" t="n">
        <x:f>0</x:f>
        <x:v>0</x:v>
      </x:c>
      <x:c r="L81" s="10" t="n">
        <x:f>0</x:f>
        <x:v>0</x:v>
      </x:c>
      <x:c r="M81" s="10" t="n">
        <x:f>SUM(E81,I81,K81)</x:f>
        <x:v>1709791.6970312493</x:v>
      </x:c>
      <x:c r="N81" s="64" t="n">
        <x:f>SUM(E81:L81)</x:f>
        <x:v>1027641.6970312492</x:v>
      </x:c>
    </x:row>
    <x:row r="82" ht="22.75" customHeight="1">
      <x:c r="A82" s="4"/>
      <x:c r="B82" s="5"/>
      <x:c r="C82" s="65">
        <x:v>75</x:v>
      </x:c>
      <x:c r="D82" s="18" t="s">
        <x:v>1123</x:v>
      </x:c>
      <x:c r="E82" s="25" t="n">
        <x:f>0</x:f>
        <x:v>0</x:v>
      </x:c>
      <x:c r="F82" s="25" t="n">
        <x:f>0</x:f>
        <x:v>0</x:v>
      </x:c>
      <x:c r="G82" s="25" t="n">
        <x:f>0</x:f>
        <x:v>0</x:v>
      </x:c>
      <x:c r="H82" s="25" t="n">
        <x:f>0</x:f>
        <x:v>0</x:v>
      </x:c>
      <x:c r="I82" s="28" t="n">
        <x:f>Landlord!H23/Inputs!$D$16</x:f>
        <x:v>1709791.6970312493</x:v>
      </x:c>
      <x:c r="J82" s="28" t="n">
        <x:f>Landlord!H24/Inputs!$D$16</x:f>
        <x:v>-682150.0000000001</x:v>
      </x:c>
      <x:c r="K82" s="25" t="n">
        <x:f>0</x:f>
        <x:v>0</x:v>
      </x:c>
      <x:c r="L82" s="25" t="n">
        <x:f>0</x:f>
        <x:v>0</x:v>
      </x:c>
      <x:c r="M82" s="25" t="n">
        <x:f>SUM(E82,I82,K82)</x:f>
        <x:v>1709791.6970312493</x:v>
      </x:c>
      <x:c r="N82" s="66" t="n">
        <x:f>SUM(E82:L82)</x:f>
        <x:v>1027641.6970312492</x:v>
      </x:c>
    </x:row>
    <x:row r="83" ht="22.75" customHeight="1">
      <x:c r="A83" s="4"/>
      <x:c r="B83" s="5"/>
      <x:c r="C83" s="63">
        <x:v>76</x:v>
      </x:c>
      <x:c r="D83" s="5" t="s">
        <x:v>1123</x:v>
      </x:c>
      <x:c r="E83" s="10" t="n">
        <x:f>0</x:f>
        <x:v>0</x:v>
      </x:c>
      <x:c r="F83" s="10" t="n">
        <x:f>0</x:f>
        <x:v>0</x:v>
      </x:c>
      <x:c r="G83" s="10" t="n">
        <x:f>0</x:f>
        <x:v>0</x:v>
      </x:c>
      <x:c r="H83" s="10" t="n">
        <x:f>0</x:f>
        <x:v>0</x:v>
      </x:c>
      <x:c r="I83" s="27" t="n">
        <x:f>Landlord!H23/Inputs!$D$16</x:f>
        <x:v>1709791.6970312493</x:v>
      </x:c>
      <x:c r="J83" s="27" t="n">
        <x:f>Landlord!H24/Inputs!$D$16</x:f>
        <x:v>-682150.0000000001</x:v>
      </x:c>
      <x:c r="K83" s="10" t="n">
        <x:f>0</x:f>
        <x:v>0</x:v>
      </x:c>
      <x:c r="L83" s="10" t="n">
        <x:f>0</x:f>
        <x:v>0</x:v>
      </x:c>
      <x:c r="M83" s="10" t="n">
        <x:f>SUM(E83,I83,K83)</x:f>
        <x:v>1709791.6970312493</x:v>
      </x:c>
      <x:c r="N83" s="64" t="n">
        <x:f>SUM(E83:L83)</x:f>
        <x:v>1027641.6970312492</x:v>
      </x:c>
    </x:row>
    <x:row r="84" ht="22.75" customHeight="1">
      <x:c r="A84" s="4"/>
      <x:c r="B84" s="5"/>
      <x:c r="C84" s="65">
        <x:v>77</x:v>
      </x:c>
      <x:c r="D84" s="18" t="s">
        <x:v>1123</x:v>
      </x:c>
      <x:c r="E84" s="25" t="n">
        <x:f>0</x:f>
        <x:v>0</x:v>
      </x:c>
      <x:c r="F84" s="25" t="n">
        <x:f>0</x:f>
        <x:v>0</x:v>
      </x:c>
      <x:c r="G84" s="25" t="n">
        <x:f>0</x:f>
        <x:v>0</x:v>
      </x:c>
      <x:c r="H84" s="25" t="n">
        <x:f>0</x:f>
        <x:v>0</x:v>
      </x:c>
      <x:c r="I84" s="28" t="n">
        <x:f>Landlord!H23/Inputs!$D$16</x:f>
        <x:v>1709791.6970312493</x:v>
      </x:c>
      <x:c r="J84" s="28" t="n">
        <x:f>Landlord!H24/Inputs!$D$16</x:f>
        <x:v>-682150.0000000001</x:v>
      </x:c>
      <x:c r="K84" s="25" t="n">
        <x:f>0</x:f>
        <x:v>0</x:v>
      </x:c>
      <x:c r="L84" s="25" t="n">
        <x:f>0</x:f>
        <x:v>0</x:v>
      </x:c>
      <x:c r="M84" s="25" t="n">
        <x:f>SUM(E84,I84,K84)</x:f>
        <x:v>1709791.6970312493</x:v>
      </x:c>
      <x:c r="N84" s="66" t="n">
        <x:f>SUM(E84:L84)</x:f>
        <x:v>1027641.6970312492</x:v>
      </x:c>
    </x:row>
    <x:row r="85" ht="22.75" customHeight="1">
      <x:c r="A85" s="4"/>
      <x:c r="B85" s="5"/>
      <x:c r="C85" s="63">
        <x:v>78</x:v>
      </x:c>
      <x:c r="D85" s="5" t="s">
        <x:v>1123</x:v>
      </x:c>
      <x:c r="E85" s="10" t="n">
        <x:f>0</x:f>
        <x:v>0</x:v>
      </x:c>
      <x:c r="F85" s="10" t="n">
        <x:f>0</x:f>
        <x:v>0</x:v>
      </x:c>
      <x:c r="G85" s="10" t="n">
        <x:f>0</x:f>
        <x:v>0</x:v>
      </x:c>
      <x:c r="H85" s="10" t="n">
        <x:f>0</x:f>
        <x:v>0</x:v>
      </x:c>
      <x:c r="I85" s="27" t="n">
        <x:f>Landlord!H23/Inputs!$D$16</x:f>
        <x:v>1709791.6970312493</x:v>
      </x:c>
      <x:c r="J85" s="27" t="n">
        <x:f>Landlord!H24/Inputs!$D$16</x:f>
        <x:v>-682150.0000000001</x:v>
      </x:c>
      <x:c r="K85" s="10" t="n">
        <x:f>0</x:f>
        <x:v>0</x:v>
      </x:c>
      <x:c r="L85" s="10" t="n">
        <x:f>0</x:f>
        <x:v>0</x:v>
      </x:c>
      <x:c r="M85" s="10" t="n">
        <x:f>SUM(E85,I85,K85)</x:f>
        <x:v>1709791.6970312493</x:v>
      </x:c>
      <x:c r="N85" s="64" t="n">
        <x:f>SUM(E85:L85)</x:f>
        <x:v>1027641.6970312492</x:v>
      </x:c>
    </x:row>
    <x:row r="86" ht="22.75" customHeight="1">
      <x:c r="A86" s="4"/>
      <x:c r="B86" s="5"/>
      <x:c r="C86" s="65">
        <x:v>79</x:v>
      </x:c>
      <x:c r="D86" s="18" t="s">
        <x:v>1123</x:v>
      </x:c>
      <x:c r="E86" s="25" t="n">
        <x:f>0</x:f>
        <x:v>0</x:v>
      </x:c>
      <x:c r="F86" s="25" t="n">
        <x:f>0</x:f>
        <x:v>0</x:v>
      </x:c>
      <x:c r="G86" s="25" t="n">
        <x:f>0</x:f>
        <x:v>0</x:v>
      </x:c>
      <x:c r="H86" s="25" t="n">
        <x:f>0</x:f>
        <x:v>0</x:v>
      </x:c>
      <x:c r="I86" s="28" t="n">
        <x:f>Landlord!H23/Inputs!$D$16</x:f>
        <x:v>1709791.6970312493</x:v>
      </x:c>
      <x:c r="J86" s="28" t="n">
        <x:f>Landlord!H24/Inputs!$D$16</x:f>
        <x:v>-682150.0000000001</x:v>
      </x:c>
      <x:c r="K86" s="25" t="n">
        <x:f>0</x:f>
        <x:v>0</x:v>
      </x:c>
      <x:c r="L86" s="25" t="n">
        <x:f>0</x:f>
        <x:v>0</x:v>
      </x:c>
      <x:c r="M86" s="25" t="n">
        <x:f>SUM(E86,I86,K86)</x:f>
        <x:v>1709791.6970312493</x:v>
      </x:c>
      <x:c r="N86" s="66" t="n">
        <x:f>SUM(E86:L86)</x:f>
        <x:v>1027641.6970312492</x:v>
      </x:c>
    </x:row>
    <x:row r="87" ht="22.75" customHeight="1">
      <x:c r="A87" s="4"/>
      <x:c r="B87" s="5"/>
      <x:c r="C87" s="63">
        <x:v>80</x:v>
      </x:c>
      <x:c r="D87" s="5" t="s">
        <x:v>1123</x:v>
      </x:c>
      <x:c r="E87" s="10" t="n">
        <x:f>0</x:f>
        <x:v>0</x:v>
      </x:c>
      <x:c r="F87" s="10" t="n">
        <x:f>0</x:f>
        <x:v>0</x:v>
      </x:c>
      <x:c r="G87" s="10" t="n">
        <x:f>0</x:f>
        <x:v>0</x:v>
      </x:c>
      <x:c r="H87" s="10" t="n">
        <x:f>0</x:f>
        <x:v>0</x:v>
      </x:c>
      <x:c r="I87" s="27" t="n">
        <x:f>Landlord!H23/Inputs!$D$16</x:f>
        <x:v>1709791.6970312493</x:v>
      </x:c>
      <x:c r="J87" s="27" t="n">
        <x:f>Landlord!H24/Inputs!$D$16</x:f>
        <x:v>-682150.0000000001</x:v>
      </x:c>
      <x:c r="K87" s="10" t="n">
        <x:f>0</x:f>
        <x:v>0</x:v>
      </x:c>
      <x:c r="L87" s="10" t="n">
        <x:f>0</x:f>
        <x:v>0</x:v>
      </x:c>
      <x:c r="M87" s="10" t="n">
        <x:f>SUM(E87,I87,K87)</x:f>
        <x:v>1709791.6970312493</x:v>
      </x:c>
      <x:c r="N87" s="64" t="n">
        <x:f>SUM(E87:L87)</x:f>
        <x:v>1027641.6970312492</x:v>
      </x:c>
    </x:row>
    <x:row r="88" ht="22.75" customHeight="1">
      <x:c r="A88" s="4"/>
      <x:c r="B88" s="5"/>
      <x:c r="C88" s="65">
        <x:v>81</x:v>
      </x:c>
      <x:c r="D88" s="18" t="s">
        <x:v>1123</x:v>
      </x:c>
      <x:c r="E88" s="25" t="n">
        <x:f>0</x:f>
        <x:v>0</x:v>
      </x:c>
      <x:c r="F88" s="25" t="n">
        <x:f>0</x:f>
        <x:v>0</x:v>
      </x:c>
      <x:c r="G88" s="25" t="n">
        <x:f>0</x:f>
        <x:v>0</x:v>
      </x:c>
      <x:c r="H88" s="25" t="n">
        <x:f>0</x:f>
        <x:v>0</x:v>
      </x:c>
      <x:c r="I88" s="28" t="n">
        <x:f>Landlord!H23/Inputs!$D$16</x:f>
        <x:v>1709791.6970312493</x:v>
      </x:c>
      <x:c r="J88" s="28" t="n">
        <x:f>Landlord!H24/Inputs!$D$16</x:f>
        <x:v>-682150.0000000001</x:v>
      </x:c>
      <x:c r="K88" s="25" t="n">
        <x:f>0</x:f>
        <x:v>0</x:v>
      </x:c>
      <x:c r="L88" s="25" t="n">
        <x:f>0</x:f>
        <x:v>0</x:v>
      </x:c>
      <x:c r="M88" s="25" t="n">
        <x:f>SUM(E88,I88,K88)</x:f>
        <x:v>1709791.6970312493</x:v>
      </x:c>
      <x:c r="N88" s="66" t="n">
        <x:f>SUM(E88:L88)</x:f>
        <x:v>1027641.6970312492</x:v>
      </x:c>
    </x:row>
    <x:row r="89" ht="22.75" customHeight="1">
      <x:c r="A89" s="4"/>
      <x:c r="B89" s="5"/>
      <x:c r="C89" s="63">
        <x:v>82</x:v>
      </x:c>
      <x:c r="D89" s="5" t="s">
        <x:v>1123</x:v>
      </x:c>
      <x:c r="E89" s="10" t="n">
        <x:f>0</x:f>
        <x:v>0</x:v>
      </x:c>
      <x:c r="F89" s="10" t="n">
        <x:f>0</x:f>
        <x:v>0</x:v>
      </x:c>
      <x:c r="G89" s="10" t="n">
        <x:f>0</x:f>
        <x:v>0</x:v>
      </x:c>
      <x:c r="H89" s="10" t="n">
        <x:f>0</x:f>
        <x:v>0</x:v>
      </x:c>
      <x:c r="I89" s="27" t="n">
        <x:f>Landlord!H23/Inputs!$D$16</x:f>
        <x:v>1709791.6970312493</x:v>
      </x:c>
      <x:c r="J89" s="27" t="n">
        <x:f>Landlord!H24/Inputs!$D$16</x:f>
        <x:v>-682150.0000000001</x:v>
      </x:c>
      <x:c r="K89" s="10" t="n">
        <x:f>0</x:f>
        <x:v>0</x:v>
      </x:c>
      <x:c r="L89" s="10" t="n">
        <x:f>0</x:f>
        <x:v>0</x:v>
      </x:c>
      <x:c r="M89" s="10" t="n">
        <x:f>SUM(E89,I89,K89)</x:f>
        <x:v>1709791.6970312493</x:v>
      </x:c>
      <x:c r="N89" s="64" t="n">
        <x:f>SUM(E89:L89)</x:f>
        <x:v>1027641.6970312492</x:v>
      </x:c>
    </x:row>
    <x:row r="90" ht="22.75" customHeight="1">
      <x:c r="A90" s="4"/>
      <x:c r="B90" s="5"/>
      <x:c r="C90" s="65">
        <x:v>83</x:v>
      </x:c>
      <x:c r="D90" s="18" t="s">
        <x:v>1123</x:v>
      </x:c>
      <x:c r="E90" s="25" t="n">
        <x:f>0</x:f>
        <x:v>0</x:v>
      </x:c>
      <x:c r="F90" s="25" t="n">
        <x:f>0</x:f>
        <x:v>0</x:v>
      </x:c>
      <x:c r="G90" s="25" t="n">
        <x:f>0</x:f>
        <x:v>0</x:v>
      </x:c>
      <x:c r="H90" s="25" t="n">
        <x:f>0</x:f>
        <x:v>0</x:v>
      </x:c>
      <x:c r="I90" s="28" t="n">
        <x:f>Landlord!H23/Inputs!$D$16</x:f>
        <x:v>1709791.6970312493</x:v>
      </x:c>
      <x:c r="J90" s="28" t="n">
        <x:f>Landlord!H24/Inputs!$D$16</x:f>
        <x:v>-682150.0000000001</x:v>
      </x:c>
      <x:c r="K90" s="25" t="n">
        <x:f>0</x:f>
        <x:v>0</x:v>
      </x:c>
      <x:c r="L90" s="25" t="n">
        <x:f>0</x:f>
        <x:v>0</x:v>
      </x:c>
      <x:c r="M90" s="25" t="n">
        <x:f>SUM(E90,I90,K90)</x:f>
        <x:v>1709791.6970312493</x:v>
      </x:c>
      <x:c r="N90" s="66" t="n">
        <x:f>SUM(E90:L90)</x:f>
        <x:v>1027641.6970312492</x:v>
      </x:c>
    </x:row>
    <x:row r="91" ht="22.75" customHeight="1">
      <x:c r="A91" s="4"/>
      <x:c r="B91" s="5"/>
      <x:c r="C91" s="63">
        <x:v>84</x:v>
      </x:c>
      <x:c r="D91" s="5" t="s">
        <x:v>1123</x:v>
      </x:c>
      <x:c r="E91" s="10" t="n">
        <x:f>0</x:f>
        <x:v>0</x:v>
      </x:c>
      <x:c r="F91" s="10" t="n">
        <x:f>0</x:f>
        <x:v>0</x:v>
      </x:c>
      <x:c r="G91" s="10" t="n">
        <x:f>0</x:f>
        <x:v>0</x:v>
      </x:c>
      <x:c r="H91" s="10" t="n">
        <x:f>0</x:f>
        <x:v>0</x:v>
      </x:c>
      <x:c r="I91" s="27" t="n">
        <x:f>Landlord!H23/Inputs!$D$16</x:f>
        <x:v>1709791.6970312493</x:v>
      </x:c>
      <x:c r="J91" s="27" t="n">
        <x:f>Landlord!H24/Inputs!$D$16</x:f>
        <x:v>-682150.0000000001</x:v>
      </x:c>
      <x:c r="K91" s="10" t="n">
        <x:f>0</x:f>
        <x:v>0</x:v>
      </x:c>
      <x:c r="L91" s="10" t="n">
        <x:f>0</x:f>
        <x:v>0</x:v>
      </x:c>
      <x:c r="M91" s="10" t="n">
        <x:f>SUM(E91,I91,K91)</x:f>
        <x:v>1709791.6970312493</x:v>
      </x:c>
      <x:c r="N91" s="64" t="n">
        <x:f>SUM(E91:L91)</x:f>
        <x:v>1027641.6970312492</x:v>
      </x:c>
    </x:row>
    <x:row r="92" ht="22.75" customHeight="1">
      <x:c r="A92" s="4"/>
      <x:c r="B92" s="5"/>
      <x:c r="C92" s="65">
        <x:v>85</x:v>
      </x:c>
      <x:c r="D92" s="18" t="s">
        <x:v>1123</x:v>
      </x:c>
      <x:c r="E92" s="25" t="n">
        <x:f>0</x:f>
        <x:v>0</x:v>
      </x:c>
      <x:c r="F92" s="25" t="n">
        <x:f>0</x:f>
        <x:v>0</x:v>
      </x:c>
      <x:c r="G92" s="25" t="n">
        <x:f>0</x:f>
        <x:v>0</x:v>
      </x:c>
      <x:c r="H92" s="25" t="n">
        <x:f>0</x:f>
        <x:v>0</x:v>
      </x:c>
      <x:c r="I92" s="28" t="n">
        <x:f>Landlord!I23/Inputs!$D$16</x:f>
        <x:v>1748667.5529226556</x:v>
      </x:c>
      <x:c r="J92" s="28" t="n">
        <x:f>Landlord!I24/Inputs!$D$16</x:f>
        <x:v>-682150.0000000001</x:v>
      </x:c>
      <x:c r="K92" s="25" t="n">
        <x:f>0</x:f>
        <x:v>0</x:v>
      </x:c>
      <x:c r="L92" s="25" t="n">
        <x:f>0</x:f>
        <x:v>0</x:v>
      </x:c>
      <x:c r="M92" s="25" t="n">
        <x:f>SUM(E92,I92,K92)</x:f>
        <x:v>1748667.5529226556</x:v>
      </x:c>
      <x:c r="N92" s="66" t="n">
        <x:f>SUM(E92:L92)</x:f>
        <x:v>1066517.5529226554</x:v>
      </x:c>
    </x:row>
    <x:row r="93" ht="22.75" customHeight="1">
      <x:c r="A93" s="4"/>
      <x:c r="B93" s="5"/>
      <x:c r="C93" s="63">
        <x:v>86</x:v>
      </x:c>
      <x:c r="D93" s="5" t="s">
        <x:v>1123</x:v>
      </x:c>
      <x:c r="E93" s="10" t="n">
        <x:f>0</x:f>
        <x:v>0</x:v>
      </x:c>
      <x:c r="F93" s="10" t="n">
        <x:f>0</x:f>
        <x:v>0</x:v>
      </x:c>
      <x:c r="G93" s="10" t="n">
        <x:f>0</x:f>
        <x:v>0</x:v>
      </x:c>
      <x:c r="H93" s="10" t="n">
        <x:f>0</x:f>
        <x:v>0</x:v>
      </x:c>
      <x:c r="I93" s="27" t="n">
        <x:f>Landlord!I23/Inputs!$D$16</x:f>
        <x:v>1748667.5529226556</x:v>
      </x:c>
      <x:c r="J93" s="27" t="n">
        <x:f>Landlord!I24/Inputs!$D$16</x:f>
        <x:v>-682150.0000000001</x:v>
      </x:c>
      <x:c r="K93" s="10" t="n">
        <x:f>0</x:f>
        <x:v>0</x:v>
      </x:c>
      <x:c r="L93" s="10" t="n">
        <x:f>0</x:f>
        <x:v>0</x:v>
      </x:c>
      <x:c r="M93" s="10" t="n">
        <x:f>SUM(E93,I93,K93)</x:f>
        <x:v>1748667.5529226556</x:v>
      </x:c>
      <x:c r="N93" s="64" t="n">
        <x:f>SUM(E93:L93)</x:f>
        <x:v>1066517.5529226554</x:v>
      </x:c>
    </x:row>
    <x:row r="94" ht="22.75" customHeight="1">
      <x:c r="A94" s="4"/>
      <x:c r="B94" s="5"/>
      <x:c r="C94" s="65">
        <x:v>87</x:v>
      </x:c>
      <x:c r="D94" s="18" t="s">
        <x:v>1123</x:v>
      </x:c>
      <x:c r="E94" s="25" t="n">
        <x:f>0</x:f>
        <x:v>0</x:v>
      </x:c>
      <x:c r="F94" s="25" t="n">
        <x:f>0</x:f>
        <x:v>0</x:v>
      </x:c>
      <x:c r="G94" s="25" t="n">
        <x:f>0</x:f>
        <x:v>0</x:v>
      </x:c>
      <x:c r="H94" s="25" t="n">
        <x:f>0</x:f>
        <x:v>0</x:v>
      </x:c>
      <x:c r="I94" s="28" t="n">
        <x:f>Landlord!I23/Inputs!$D$16</x:f>
        <x:v>1748667.5529226556</x:v>
      </x:c>
      <x:c r="J94" s="28" t="n">
        <x:f>Landlord!I24/Inputs!$D$16</x:f>
        <x:v>-682150.0000000001</x:v>
      </x:c>
      <x:c r="K94" s="25" t="n">
        <x:f>0</x:f>
        <x:v>0</x:v>
      </x:c>
      <x:c r="L94" s="25" t="n">
        <x:f>0</x:f>
        <x:v>0</x:v>
      </x:c>
      <x:c r="M94" s="25" t="n">
        <x:f>SUM(E94,I94,K94)</x:f>
        <x:v>1748667.5529226556</x:v>
      </x:c>
      <x:c r="N94" s="66" t="n">
        <x:f>SUM(E94:L94)</x:f>
        <x:v>1066517.5529226554</x:v>
      </x:c>
    </x:row>
    <x:row r="95" ht="22.75" customHeight="1">
      <x:c r="A95" s="4"/>
      <x:c r="B95" s="5"/>
      <x:c r="C95" s="63">
        <x:v>88</x:v>
      </x:c>
      <x:c r="D95" s="5" t="s">
        <x:v>1123</x:v>
      </x:c>
      <x:c r="E95" s="10" t="n">
        <x:f>0</x:f>
        <x:v>0</x:v>
      </x:c>
      <x:c r="F95" s="10" t="n">
        <x:f>0</x:f>
        <x:v>0</x:v>
      </x:c>
      <x:c r="G95" s="10" t="n">
        <x:f>0</x:f>
        <x:v>0</x:v>
      </x:c>
      <x:c r="H95" s="10" t="n">
        <x:f>0</x:f>
        <x:v>0</x:v>
      </x:c>
      <x:c r="I95" s="27" t="n">
        <x:f>Landlord!I23/Inputs!$D$16</x:f>
        <x:v>1748667.5529226556</x:v>
      </x:c>
      <x:c r="J95" s="27" t="n">
        <x:f>Landlord!I24/Inputs!$D$16</x:f>
        <x:v>-682150.0000000001</x:v>
      </x:c>
      <x:c r="K95" s="10" t="n">
        <x:f>0</x:f>
        <x:v>0</x:v>
      </x:c>
      <x:c r="L95" s="10" t="n">
        <x:f>0</x:f>
        <x:v>0</x:v>
      </x:c>
      <x:c r="M95" s="10" t="n">
        <x:f>SUM(E95,I95,K95)</x:f>
        <x:v>1748667.5529226556</x:v>
      </x:c>
      <x:c r="N95" s="64" t="n">
        <x:f>SUM(E95:L95)</x:f>
        <x:v>1066517.5529226554</x:v>
      </x:c>
    </x:row>
    <x:row r="96" ht="22.75" customHeight="1">
      <x:c r="A96" s="4"/>
      <x:c r="B96" s="5"/>
      <x:c r="C96" s="65">
        <x:v>89</x:v>
      </x:c>
      <x:c r="D96" s="18" t="s">
        <x:v>1123</x:v>
      </x:c>
      <x:c r="E96" s="25" t="n">
        <x:f>0</x:f>
        <x:v>0</x:v>
      </x:c>
      <x:c r="F96" s="25" t="n">
        <x:f>0</x:f>
        <x:v>0</x:v>
      </x:c>
      <x:c r="G96" s="25" t="n">
        <x:f>0</x:f>
        <x:v>0</x:v>
      </x:c>
      <x:c r="H96" s="25" t="n">
        <x:f>0</x:f>
        <x:v>0</x:v>
      </x:c>
      <x:c r="I96" s="28" t="n">
        <x:f>Landlord!I23/Inputs!$D$16</x:f>
        <x:v>1748667.5529226556</x:v>
      </x:c>
      <x:c r="J96" s="28" t="n">
        <x:f>Landlord!I24/Inputs!$D$16</x:f>
        <x:v>-682150.0000000001</x:v>
      </x:c>
      <x:c r="K96" s="25" t="n">
        <x:f>0</x:f>
        <x:v>0</x:v>
      </x:c>
      <x:c r="L96" s="25" t="n">
        <x:f>0</x:f>
        <x:v>0</x:v>
      </x:c>
      <x:c r="M96" s="25" t="n">
        <x:f>SUM(E96,I96,K96)</x:f>
        <x:v>1748667.5529226556</x:v>
      </x:c>
      <x:c r="N96" s="66" t="n">
        <x:f>SUM(E96:L96)</x:f>
        <x:v>1066517.5529226554</x:v>
      </x:c>
    </x:row>
    <x:row r="97" ht="22.75" customHeight="1">
      <x:c r="A97" s="4"/>
      <x:c r="B97" s="5"/>
      <x:c r="C97" s="63">
        <x:v>90</x:v>
      </x:c>
      <x:c r="D97" s="5" t="s">
        <x:v>1123</x:v>
      </x:c>
      <x:c r="E97" s="10" t="n">
        <x:f>0</x:f>
        <x:v>0</x:v>
      </x:c>
      <x:c r="F97" s="10" t="n">
        <x:f>0</x:f>
        <x:v>0</x:v>
      </x:c>
      <x:c r="G97" s="10" t="n">
        <x:f>0</x:f>
        <x:v>0</x:v>
      </x:c>
      <x:c r="H97" s="10" t="n">
        <x:f>0</x:f>
        <x:v>0</x:v>
      </x:c>
      <x:c r="I97" s="27" t="n">
        <x:f>Landlord!I23/Inputs!$D$16</x:f>
        <x:v>1748667.5529226556</x:v>
      </x:c>
      <x:c r="J97" s="27" t="n">
        <x:f>Landlord!I24/Inputs!$D$16</x:f>
        <x:v>-682150.0000000001</x:v>
      </x:c>
      <x:c r="K97" s="10" t="n">
        <x:f>0</x:f>
        <x:v>0</x:v>
      </x:c>
      <x:c r="L97" s="10" t="n">
        <x:f>0</x:f>
        <x:v>0</x:v>
      </x:c>
      <x:c r="M97" s="10" t="n">
        <x:f>SUM(E97,I97,K97)</x:f>
        <x:v>1748667.5529226556</x:v>
      </x:c>
      <x:c r="N97" s="64" t="n">
        <x:f>SUM(E97:L97)</x:f>
        <x:v>1066517.5529226554</x:v>
      </x:c>
    </x:row>
    <x:row r="98" ht="22.75" customHeight="1">
      <x:c r="A98" s="4"/>
      <x:c r="B98" s="5"/>
      <x:c r="C98" s="65">
        <x:v>91</x:v>
      </x:c>
      <x:c r="D98" s="18" t="s">
        <x:v>1123</x:v>
      </x:c>
      <x:c r="E98" s="25" t="n">
        <x:f>0</x:f>
        <x:v>0</x:v>
      </x:c>
      <x:c r="F98" s="25" t="n">
        <x:f>0</x:f>
        <x:v>0</x:v>
      </x:c>
      <x:c r="G98" s="25" t="n">
        <x:f>0</x:f>
        <x:v>0</x:v>
      </x:c>
      <x:c r="H98" s="25" t="n">
        <x:f>0</x:f>
        <x:v>0</x:v>
      </x:c>
      <x:c r="I98" s="28" t="n">
        <x:f>Landlord!I23/Inputs!$D$16</x:f>
        <x:v>1748667.5529226556</x:v>
      </x:c>
      <x:c r="J98" s="28" t="n">
        <x:f>Landlord!I24/Inputs!$D$16</x:f>
        <x:v>-682150.0000000001</x:v>
      </x:c>
      <x:c r="K98" s="25" t="n">
        <x:f>0</x:f>
        <x:v>0</x:v>
      </x:c>
      <x:c r="L98" s="25" t="n">
        <x:f>0</x:f>
        <x:v>0</x:v>
      </x:c>
      <x:c r="M98" s="25" t="n">
        <x:f>SUM(E98,I98,K98)</x:f>
        <x:v>1748667.5529226556</x:v>
      </x:c>
      <x:c r="N98" s="66" t="n">
        <x:f>SUM(E98:L98)</x:f>
        <x:v>1066517.5529226554</x:v>
      </x:c>
    </x:row>
    <x:row r="99" ht="22.75" customHeight="1">
      <x:c r="A99" s="4"/>
      <x:c r="B99" s="5"/>
      <x:c r="C99" s="63">
        <x:v>92</x:v>
      </x:c>
      <x:c r="D99" s="5" t="s">
        <x:v>1123</x:v>
      </x:c>
      <x:c r="E99" s="10" t="n">
        <x:f>0</x:f>
        <x:v>0</x:v>
      </x:c>
      <x:c r="F99" s="10" t="n">
        <x:f>0</x:f>
        <x:v>0</x:v>
      </x:c>
      <x:c r="G99" s="10" t="n">
        <x:f>0</x:f>
        <x:v>0</x:v>
      </x:c>
      <x:c r="H99" s="10" t="n">
        <x:f>0</x:f>
        <x:v>0</x:v>
      </x:c>
      <x:c r="I99" s="27" t="n">
        <x:f>Landlord!I23/Inputs!$D$16</x:f>
        <x:v>1748667.5529226556</x:v>
      </x:c>
      <x:c r="J99" s="27" t="n">
        <x:f>Landlord!I24/Inputs!$D$16</x:f>
        <x:v>-682150.0000000001</x:v>
      </x:c>
      <x:c r="K99" s="10" t="n">
        <x:f>0</x:f>
        <x:v>0</x:v>
      </x:c>
      <x:c r="L99" s="10" t="n">
        <x:f>0</x:f>
        <x:v>0</x:v>
      </x:c>
      <x:c r="M99" s="10" t="n">
        <x:f>SUM(E99,I99,K99)</x:f>
        <x:v>1748667.5529226556</x:v>
      </x:c>
      <x:c r="N99" s="64" t="n">
        <x:f>SUM(E99:L99)</x:f>
        <x:v>1066517.5529226554</x:v>
      </x:c>
    </x:row>
    <x:row r="100" ht="22.75" customHeight="1">
      <x:c r="A100" s="4"/>
      <x:c r="B100" s="5"/>
      <x:c r="C100" s="65">
        <x:v>93</x:v>
      </x:c>
      <x:c r="D100" s="18" t="s">
        <x:v>1123</x:v>
      </x:c>
      <x:c r="E100" s="25" t="n">
        <x:f>0</x:f>
        <x:v>0</x:v>
      </x:c>
      <x:c r="F100" s="25" t="n">
        <x:f>0</x:f>
        <x:v>0</x:v>
      </x:c>
      <x:c r="G100" s="25" t="n">
        <x:f>0</x:f>
        <x:v>0</x:v>
      </x:c>
      <x:c r="H100" s="25" t="n">
        <x:f>0</x:f>
        <x:v>0</x:v>
      </x:c>
      <x:c r="I100" s="28" t="n">
        <x:f>Landlord!I23/Inputs!$D$16</x:f>
        <x:v>1748667.5529226556</x:v>
      </x:c>
      <x:c r="J100" s="28" t="n">
        <x:f>Landlord!I24/Inputs!$D$16</x:f>
        <x:v>-682150.0000000001</x:v>
      </x:c>
      <x:c r="K100" s="25" t="n">
        <x:f>0</x:f>
        <x:v>0</x:v>
      </x:c>
      <x:c r="L100" s="25" t="n">
        <x:f>0</x:f>
        <x:v>0</x:v>
      </x:c>
      <x:c r="M100" s="25" t="n">
        <x:f>SUM(E100,I100,K100)</x:f>
        <x:v>1748667.5529226556</x:v>
      </x:c>
      <x:c r="N100" s="66" t="n">
        <x:f>SUM(E100:L100)</x:f>
        <x:v>1066517.5529226554</x:v>
      </x:c>
    </x:row>
    <x:row r="101" ht="22.75" customHeight="1">
      <x:c r="A101" s="4"/>
      <x:c r="B101" s="5"/>
      <x:c r="C101" s="63">
        <x:v>94</x:v>
      </x:c>
      <x:c r="D101" s="5" t="s">
        <x:v>1123</x:v>
      </x:c>
      <x:c r="E101" s="10" t="n">
        <x:f>0</x:f>
        <x:v>0</x:v>
      </x:c>
      <x:c r="F101" s="10" t="n">
        <x:f>0</x:f>
        <x:v>0</x:v>
      </x:c>
      <x:c r="G101" s="10" t="n">
        <x:f>0</x:f>
        <x:v>0</x:v>
      </x:c>
      <x:c r="H101" s="10" t="n">
        <x:f>0</x:f>
        <x:v>0</x:v>
      </x:c>
      <x:c r="I101" s="27" t="n">
        <x:f>Landlord!I23/Inputs!$D$16</x:f>
        <x:v>1748667.5529226556</x:v>
      </x:c>
      <x:c r="J101" s="27" t="n">
        <x:f>Landlord!I24/Inputs!$D$16</x:f>
        <x:v>-682150.0000000001</x:v>
      </x:c>
      <x:c r="K101" s="10" t="n">
        <x:f>0</x:f>
        <x:v>0</x:v>
      </x:c>
      <x:c r="L101" s="10" t="n">
        <x:f>0</x:f>
        <x:v>0</x:v>
      </x:c>
      <x:c r="M101" s="10" t="n">
        <x:f>SUM(E101,I101,K101)</x:f>
        <x:v>1748667.5529226556</x:v>
      </x:c>
      <x:c r="N101" s="64" t="n">
        <x:f>SUM(E101:L101)</x:f>
        <x:v>1066517.5529226554</x:v>
      </x:c>
    </x:row>
    <x:row r="102" ht="22.75" customHeight="1">
      <x:c r="A102" s="4"/>
      <x:c r="B102" s="5"/>
      <x:c r="C102" s="65">
        <x:v>95</x:v>
      </x:c>
      <x:c r="D102" s="18" t="s">
        <x:v>1123</x:v>
      </x:c>
      <x:c r="E102" s="25" t="n">
        <x:f>0</x:f>
        <x:v>0</x:v>
      </x:c>
      <x:c r="F102" s="25" t="n">
        <x:f>0</x:f>
        <x:v>0</x:v>
      </x:c>
      <x:c r="G102" s="25" t="n">
        <x:f>0</x:f>
        <x:v>0</x:v>
      </x:c>
      <x:c r="H102" s="25" t="n">
        <x:f>0</x:f>
        <x:v>0</x:v>
      </x:c>
      <x:c r="I102" s="28" t="n">
        <x:f>Landlord!I23/Inputs!$D$16</x:f>
        <x:v>1748667.5529226556</x:v>
      </x:c>
      <x:c r="J102" s="28" t="n">
        <x:f>Landlord!I24/Inputs!$D$16</x:f>
        <x:v>-682150.0000000001</x:v>
      </x:c>
      <x:c r="K102" s="25" t="n">
        <x:f>0</x:f>
        <x:v>0</x:v>
      </x:c>
      <x:c r="L102" s="25" t="n">
        <x:f>0</x:f>
        <x:v>0</x:v>
      </x:c>
      <x:c r="M102" s="25" t="n">
        <x:f>SUM(E102,I102,K102)</x:f>
        <x:v>1748667.5529226556</x:v>
      </x:c>
      <x:c r="N102" s="66" t="n">
        <x:f>SUM(E102:L102)</x:f>
        <x:v>1066517.5529226554</x:v>
      </x:c>
    </x:row>
    <x:row r="103" ht="22.75" customHeight="1">
      <x:c r="A103" s="4"/>
      <x:c r="B103" s="5"/>
      <x:c r="C103" s="63">
        <x:v>96</x:v>
      </x:c>
      <x:c r="D103" s="5" t="s">
        <x:v>1123</x:v>
      </x:c>
      <x:c r="E103" s="10" t="n">
        <x:f>0</x:f>
        <x:v>0</x:v>
      </x:c>
      <x:c r="F103" s="10" t="n">
        <x:f>0</x:f>
        <x:v>0</x:v>
      </x:c>
      <x:c r="G103" s="10" t="n">
        <x:f>0</x:f>
        <x:v>0</x:v>
      </x:c>
      <x:c r="H103" s="10" t="n">
        <x:f>0</x:f>
        <x:v>0</x:v>
      </x:c>
      <x:c r="I103" s="27" t="n">
        <x:f>Landlord!I23/Inputs!$D$16</x:f>
        <x:v>1748667.5529226556</x:v>
      </x:c>
      <x:c r="J103" s="27" t="n">
        <x:f>Landlord!I24/Inputs!$D$16</x:f>
        <x:v>-682150.0000000001</x:v>
      </x:c>
      <x:c r="K103" s="10" t="n">
        <x:f>0</x:f>
        <x:v>0</x:v>
      </x:c>
      <x:c r="L103" s="10" t="n">
        <x:f>0</x:f>
        <x:v>0</x:v>
      </x:c>
      <x:c r="M103" s="10" t="n">
        <x:f>SUM(E103,I103,K103)</x:f>
        <x:v>1748667.5529226556</x:v>
      </x:c>
      <x:c r="N103" s="64" t="n">
        <x:f>SUM(E103:L103)</x:f>
        <x:v>1066517.5529226554</x:v>
      </x:c>
    </x:row>
    <x:row r="104" ht="22.75" customHeight="1">
      <x:c r="A104" s="4"/>
      <x:c r="B104" s="5"/>
      <x:c r="C104" s="65">
        <x:v>97</x:v>
      </x:c>
      <x:c r="D104" s="18" t="s">
        <x:v>1123</x:v>
      </x:c>
      <x:c r="E104" s="25" t="n">
        <x:f>0</x:f>
        <x:v>0</x:v>
      </x:c>
      <x:c r="F104" s="25" t="n">
        <x:f>0</x:f>
        <x:v>0</x:v>
      </x:c>
      <x:c r="G104" s="25" t="n">
        <x:f>0</x:f>
        <x:v>0</x:v>
      </x:c>
      <x:c r="H104" s="25" t="n">
        <x:f>0</x:f>
        <x:v>0</x:v>
      </x:c>
      <x:c r="I104" s="28" t="n">
        <x:f>Landlord!J23/Inputs!$D$16</x:f>
        <x:v>1788399.2371153152</x:v>
      </x:c>
      <x:c r="J104" s="28" t="n">
        <x:f>Landlord!J24/Inputs!$D$16</x:f>
        <x:v>-682150.0000000001</x:v>
      </x:c>
      <x:c r="K104" s="25" t="n">
        <x:f>0</x:f>
        <x:v>0</x:v>
      </x:c>
      <x:c r="L104" s="25" t="n">
        <x:f>0</x:f>
        <x:v>0</x:v>
      </x:c>
      <x:c r="M104" s="25" t="n">
        <x:f>SUM(E104,I104,K104)</x:f>
        <x:v>1788399.2371153152</x:v>
      </x:c>
      <x:c r="N104" s="66" t="n">
        <x:f>SUM(E104:L104)</x:f>
        <x:v>1106249.2371153152</x:v>
      </x:c>
    </x:row>
    <x:row r="105" ht="22.75" customHeight="1">
      <x:c r="A105" s="4"/>
      <x:c r="B105" s="5"/>
      <x:c r="C105" s="63">
        <x:v>98</x:v>
      </x:c>
      <x:c r="D105" s="5" t="s">
        <x:v>1123</x:v>
      </x:c>
      <x:c r="E105" s="10" t="n">
        <x:f>0</x:f>
        <x:v>0</x:v>
      </x:c>
      <x:c r="F105" s="10" t="n">
        <x:f>0</x:f>
        <x:v>0</x:v>
      </x:c>
      <x:c r="G105" s="10" t="n">
        <x:f>0</x:f>
        <x:v>0</x:v>
      </x:c>
      <x:c r="H105" s="10" t="n">
        <x:f>0</x:f>
        <x:v>0</x:v>
      </x:c>
      <x:c r="I105" s="27" t="n">
        <x:f>Landlord!J23/Inputs!$D$16</x:f>
        <x:v>1788399.2371153152</x:v>
      </x:c>
      <x:c r="J105" s="27" t="n">
        <x:f>Landlord!J24/Inputs!$D$16</x:f>
        <x:v>-682150.0000000001</x:v>
      </x:c>
      <x:c r="K105" s="10" t="n">
        <x:f>0</x:f>
        <x:v>0</x:v>
      </x:c>
      <x:c r="L105" s="10" t="n">
        <x:f>0</x:f>
        <x:v>0</x:v>
      </x:c>
      <x:c r="M105" s="10" t="n">
        <x:f>SUM(E105,I105,K105)</x:f>
        <x:v>1788399.2371153152</x:v>
      </x:c>
      <x:c r="N105" s="64" t="n">
        <x:f>SUM(E105:L105)</x:f>
        <x:v>1106249.2371153152</x:v>
      </x:c>
    </x:row>
    <x:row r="106" ht="22.75" customHeight="1">
      <x:c r="A106" s="4"/>
      <x:c r="B106" s="5"/>
      <x:c r="C106" s="65">
        <x:v>99</x:v>
      </x:c>
      <x:c r="D106" s="18" t="s">
        <x:v>1123</x:v>
      </x:c>
      <x:c r="E106" s="25" t="n">
        <x:f>0</x:f>
        <x:v>0</x:v>
      </x:c>
      <x:c r="F106" s="25" t="n">
        <x:f>0</x:f>
        <x:v>0</x:v>
      </x:c>
      <x:c r="G106" s="25" t="n">
        <x:f>0</x:f>
        <x:v>0</x:v>
      </x:c>
      <x:c r="H106" s="25" t="n">
        <x:f>0</x:f>
        <x:v>0</x:v>
      </x:c>
      <x:c r="I106" s="28" t="n">
        <x:f>Landlord!J23/Inputs!$D$16</x:f>
        <x:v>1788399.2371153152</x:v>
      </x:c>
      <x:c r="J106" s="28" t="n">
        <x:f>Landlord!J24/Inputs!$D$16</x:f>
        <x:v>-682150.0000000001</x:v>
      </x:c>
      <x:c r="K106" s="25" t="n">
        <x:f>0</x:f>
        <x:v>0</x:v>
      </x:c>
      <x:c r="L106" s="25" t="n">
        <x:f>0</x:f>
        <x:v>0</x:v>
      </x:c>
      <x:c r="M106" s="25" t="n">
        <x:f>SUM(E106,I106,K106)</x:f>
        <x:v>1788399.2371153152</x:v>
      </x:c>
      <x:c r="N106" s="66" t="n">
        <x:f>SUM(E106:L106)</x:f>
        <x:v>1106249.2371153152</x:v>
      </x:c>
    </x:row>
    <x:row r="107" ht="22.75" customHeight="1">
      <x:c r="A107" s="4"/>
      <x:c r="B107" s="5"/>
      <x:c r="C107" s="63">
        <x:v>100</x:v>
      </x:c>
      <x:c r="D107" s="5" t="s">
        <x:v>1123</x:v>
      </x:c>
      <x:c r="E107" s="10" t="n">
        <x:f>0</x:f>
        <x:v>0</x:v>
      </x:c>
      <x:c r="F107" s="10" t="n">
        <x:f>0</x:f>
        <x:v>0</x:v>
      </x:c>
      <x:c r="G107" s="10" t="n">
        <x:f>0</x:f>
        <x:v>0</x:v>
      </x:c>
      <x:c r="H107" s="10" t="n">
        <x:f>0</x:f>
        <x:v>0</x:v>
      </x:c>
      <x:c r="I107" s="27" t="n">
        <x:f>Landlord!J23/Inputs!$D$16</x:f>
        <x:v>1788399.2371153152</x:v>
      </x:c>
      <x:c r="J107" s="27" t="n">
        <x:f>Landlord!J24/Inputs!$D$16</x:f>
        <x:v>-682150.0000000001</x:v>
      </x:c>
      <x:c r="K107" s="10" t="n">
        <x:f>0</x:f>
        <x:v>0</x:v>
      </x:c>
      <x:c r="L107" s="10" t="n">
        <x:f>0</x:f>
        <x:v>0</x:v>
      </x:c>
      <x:c r="M107" s="10" t="n">
        <x:f>SUM(E107,I107,K107)</x:f>
        <x:v>1788399.2371153152</x:v>
      </x:c>
      <x:c r="N107" s="64" t="n">
        <x:f>SUM(E107:L107)</x:f>
        <x:v>1106249.2371153152</x:v>
      </x:c>
    </x:row>
    <x:row r="108" ht="22.75" customHeight="1">
      <x:c r="A108" s="4"/>
      <x:c r="B108" s="5"/>
      <x:c r="C108" s="65">
        <x:v>101</x:v>
      </x:c>
      <x:c r="D108" s="18" t="s">
        <x:v>1123</x:v>
      </x:c>
      <x:c r="E108" s="25" t="n">
        <x:f>0</x:f>
        <x:v>0</x:v>
      </x:c>
      <x:c r="F108" s="25" t="n">
        <x:f>0</x:f>
        <x:v>0</x:v>
      </x:c>
      <x:c r="G108" s="25" t="n">
        <x:f>0</x:f>
        <x:v>0</x:v>
      </x:c>
      <x:c r="H108" s="25" t="n">
        <x:f>0</x:f>
        <x:v>0</x:v>
      </x:c>
      <x:c r="I108" s="28" t="n">
        <x:f>Landlord!J23/Inputs!$D$16</x:f>
        <x:v>1788399.2371153152</x:v>
      </x:c>
      <x:c r="J108" s="28" t="n">
        <x:f>Landlord!J24/Inputs!$D$16</x:f>
        <x:v>-682150.0000000001</x:v>
      </x:c>
      <x:c r="K108" s="25" t="n">
        <x:f>0</x:f>
        <x:v>0</x:v>
      </x:c>
      <x:c r="L108" s="25" t="n">
        <x:f>0</x:f>
        <x:v>0</x:v>
      </x:c>
      <x:c r="M108" s="25" t="n">
        <x:f>SUM(E108,I108,K108)</x:f>
        <x:v>1788399.2371153152</x:v>
      </x:c>
      <x:c r="N108" s="66" t="n">
        <x:f>SUM(E108:L108)</x:f>
        <x:v>1106249.2371153152</x:v>
      </x:c>
    </x:row>
    <x:row r="109" ht="22.75" customHeight="1">
      <x:c r="A109" s="4"/>
      <x:c r="B109" s="5"/>
      <x:c r="C109" s="63">
        <x:v>102</x:v>
      </x:c>
      <x:c r="D109" s="5" t="s">
        <x:v>1123</x:v>
      </x:c>
      <x:c r="E109" s="10" t="n">
        <x:f>0</x:f>
        <x:v>0</x:v>
      </x:c>
      <x:c r="F109" s="10" t="n">
        <x:f>0</x:f>
        <x:v>0</x:v>
      </x:c>
      <x:c r="G109" s="10" t="n">
        <x:f>0</x:f>
        <x:v>0</x:v>
      </x:c>
      <x:c r="H109" s="10" t="n">
        <x:f>0</x:f>
        <x:v>0</x:v>
      </x:c>
      <x:c r="I109" s="27" t="n">
        <x:f>Landlord!J23/Inputs!$D$16</x:f>
        <x:v>1788399.2371153152</x:v>
      </x:c>
      <x:c r="J109" s="27" t="n">
        <x:f>Landlord!J24/Inputs!$D$16</x:f>
        <x:v>-682150.0000000001</x:v>
      </x:c>
      <x:c r="K109" s="10" t="n">
        <x:f>0</x:f>
        <x:v>0</x:v>
      </x:c>
      <x:c r="L109" s="10" t="n">
        <x:f>0</x:f>
        <x:v>0</x:v>
      </x:c>
      <x:c r="M109" s="10" t="n">
        <x:f>SUM(E109,I109,K109)</x:f>
        <x:v>1788399.2371153152</x:v>
      </x:c>
      <x:c r="N109" s="64" t="n">
        <x:f>SUM(E109:L109)</x:f>
        <x:v>1106249.2371153152</x:v>
      </x:c>
    </x:row>
    <x:row r="110" ht="22.75" customHeight="1">
      <x:c r="A110" s="4"/>
      <x:c r="B110" s="5"/>
      <x:c r="C110" s="65">
        <x:v>103</x:v>
      </x:c>
      <x:c r="D110" s="18" t="s">
        <x:v>1123</x:v>
      </x:c>
      <x:c r="E110" s="25" t="n">
        <x:f>0</x:f>
        <x:v>0</x:v>
      </x:c>
      <x:c r="F110" s="25" t="n">
        <x:f>0</x:f>
        <x:v>0</x:v>
      </x:c>
      <x:c r="G110" s="25" t="n">
        <x:f>0</x:f>
        <x:v>0</x:v>
      </x:c>
      <x:c r="H110" s="25" t="n">
        <x:f>0</x:f>
        <x:v>0</x:v>
      </x:c>
      <x:c r="I110" s="28" t="n">
        <x:f>Landlord!J23/Inputs!$D$16</x:f>
        <x:v>1788399.2371153152</x:v>
      </x:c>
      <x:c r="J110" s="28" t="n">
        <x:f>Landlord!J24/Inputs!$D$16</x:f>
        <x:v>-682150.0000000001</x:v>
      </x:c>
      <x:c r="K110" s="25" t="n">
        <x:f>0</x:f>
        <x:v>0</x:v>
      </x:c>
      <x:c r="L110" s="25" t="n">
        <x:f>0</x:f>
        <x:v>0</x:v>
      </x:c>
      <x:c r="M110" s="25" t="n">
        <x:f>SUM(E110,I110,K110)</x:f>
        <x:v>1788399.2371153152</x:v>
      </x:c>
      <x:c r="N110" s="66" t="n">
        <x:f>SUM(E110:L110)</x:f>
        <x:v>1106249.2371153152</x:v>
      </x:c>
    </x:row>
    <x:row r="111" ht="22.75" customHeight="1">
      <x:c r="A111" s="4"/>
      <x:c r="B111" s="5"/>
      <x:c r="C111" s="63">
        <x:v>104</x:v>
      </x:c>
      <x:c r="D111" s="5" t="s">
        <x:v>1123</x:v>
      </x:c>
      <x:c r="E111" s="10" t="n">
        <x:f>0</x:f>
        <x:v>0</x:v>
      </x:c>
      <x:c r="F111" s="10" t="n">
        <x:f>0</x:f>
        <x:v>0</x:v>
      </x:c>
      <x:c r="G111" s="10" t="n">
        <x:f>0</x:f>
        <x:v>0</x:v>
      </x:c>
      <x:c r="H111" s="10" t="n">
        <x:f>0</x:f>
        <x:v>0</x:v>
      </x:c>
      <x:c r="I111" s="27" t="n">
        <x:f>Landlord!J23/Inputs!$D$16</x:f>
        <x:v>1788399.2371153152</x:v>
      </x:c>
      <x:c r="J111" s="27" t="n">
        <x:f>Landlord!J24/Inputs!$D$16</x:f>
        <x:v>-682150.0000000001</x:v>
      </x:c>
      <x:c r="K111" s="10" t="n">
        <x:f>0</x:f>
        <x:v>0</x:v>
      </x:c>
      <x:c r="L111" s="10" t="n">
        <x:f>0</x:f>
        <x:v>0</x:v>
      </x:c>
      <x:c r="M111" s="10" t="n">
        <x:f>SUM(E111,I111,K111)</x:f>
        <x:v>1788399.2371153152</x:v>
      </x:c>
      <x:c r="N111" s="64" t="n">
        <x:f>SUM(E111:L111)</x:f>
        <x:v>1106249.2371153152</x:v>
      </x:c>
    </x:row>
    <x:row r="112" ht="22.75" customHeight="1">
      <x:c r="A112" s="4"/>
      <x:c r="B112" s="5"/>
      <x:c r="C112" s="65">
        <x:v>105</x:v>
      </x:c>
      <x:c r="D112" s="18" t="s">
        <x:v>1123</x:v>
      </x:c>
      <x:c r="E112" s="25" t="n">
        <x:f>0</x:f>
        <x:v>0</x:v>
      </x:c>
      <x:c r="F112" s="25" t="n">
        <x:f>0</x:f>
        <x:v>0</x:v>
      </x:c>
      <x:c r="G112" s="25" t="n">
        <x:f>0</x:f>
        <x:v>0</x:v>
      </x:c>
      <x:c r="H112" s="25" t="n">
        <x:f>0</x:f>
        <x:v>0</x:v>
      </x:c>
      <x:c r="I112" s="28" t="n">
        <x:f>Landlord!J23/Inputs!$D$16</x:f>
        <x:v>1788399.2371153152</x:v>
      </x:c>
      <x:c r="J112" s="28" t="n">
        <x:f>Landlord!J24/Inputs!$D$16</x:f>
        <x:v>-682150.0000000001</x:v>
      </x:c>
      <x:c r="K112" s="25" t="n">
        <x:f>0</x:f>
        <x:v>0</x:v>
      </x:c>
      <x:c r="L112" s="25" t="n">
        <x:f>0</x:f>
        <x:v>0</x:v>
      </x:c>
      <x:c r="M112" s="25" t="n">
        <x:f>SUM(E112,I112,K112)</x:f>
        <x:v>1788399.2371153152</x:v>
      </x:c>
      <x:c r="N112" s="66" t="n">
        <x:f>SUM(E112:L112)</x:f>
        <x:v>1106249.2371153152</x:v>
      </x:c>
    </x:row>
    <x:row r="113" ht="22.75" customHeight="1">
      <x:c r="A113" s="4"/>
      <x:c r="B113" s="5"/>
      <x:c r="C113" s="63">
        <x:v>106</x:v>
      </x:c>
      <x:c r="D113" s="5" t="s">
        <x:v>1123</x:v>
      </x:c>
      <x:c r="E113" s="10" t="n">
        <x:f>0</x:f>
        <x:v>0</x:v>
      </x:c>
      <x:c r="F113" s="10" t="n">
        <x:f>0</x:f>
        <x:v>0</x:v>
      </x:c>
      <x:c r="G113" s="10" t="n">
        <x:f>0</x:f>
        <x:v>0</x:v>
      </x:c>
      <x:c r="H113" s="10" t="n">
        <x:f>0</x:f>
        <x:v>0</x:v>
      </x:c>
      <x:c r="I113" s="27" t="n">
        <x:f>Landlord!J23/Inputs!$D$16</x:f>
        <x:v>1788399.2371153152</x:v>
      </x:c>
      <x:c r="J113" s="27" t="n">
        <x:f>Landlord!J24/Inputs!$D$16</x:f>
        <x:v>-682150.0000000001</x:v>
      </x:c>
      <x:c r="K113" s="10" t="n">
        <x:f>0</x:f>
        <x:v>0</x:v>
      </x:c>
      <x:c r="L113" s="10" t="n">
        <x:f>0</x:f>
        <x:v>0</x:v>
      </x:c>
      <x:c r="M113" s="10" t="n">
        <x:f>SUM(E113,I113,K113)</x:f>
        <x:v>1788399.2371153152</x:v>
      </x:c>
      <x:c r="N113" s="64" t="n">
        <x:f>SUM(E113:L113)</x:f>
        <x:v>1106249.2371153152</x:v>
      </x:c>
    </x:row>
    <x:row r="114" ht="22.75" customHeight="1">
      <x:c r="A114" s="4"/>
      <x:c r="B114" s="5"/>
      <x:c r="C114" s="65">
        <x:v>107</x:v>
      </x:c>
      <x:c r="D114" s="18" t="s">
        <x:v>1123</x:v>
      </x:c>
      <x:c r="E114" s="25" t="n">
        <x:f>0</x:f>
        <x:v>0</x:v>
      </x:c>
      <x:c r="F114" s="25" t="n">
        <x:f>0</x:f>
        <x:v>0</x:v>
      </x:c>
      <x:c r="G114" s="25" t="n">
        <x:f>0</x:f>
        <x:v>0</x:v>
      </x:c>
      <x:c r="H114" s="25" t="n">
        <x:f>0</x:f>
        <x:v>0</x:v>
      </x:c>
      <x:c r="I114" s="28" t="n">
        <x:f>Landlord!J23/Inputs!$D$16</x:f>
        <x:v>1788399.2371153152</x:v>
      </x:c>
      <x:c r="J114" s="28" t="n">
        <x:f>Landlord!J24/Inputs!$D$16</x:f>
        <x:v>-682150.0000000001</x:v>
      </x:c>
      <x:c r="K114" s="25" t="n">
        <x:f>0</x:f>
        <x:v>0</x:v>
      </x:c>
      <x:c r="L114" s="25" t="n">
        <x:f>0</x:f>
        <x:v>0</x:v>
      </x:c>
      <x:c r="M114" s="25" t="n">
        <x:f>SUM(E114,I114,K114)</x:f>
        <x:v>1788399.2371153152</x:v>
      </x:c>
      <x:c r="N114" s="66" t="n">
        <x:f>SUM(E114:L114)</x:f>
        <x:v>1106249.2371153152</x:v>
      </x:c>
    </x:row>
    <x:row r="115" ht="22.75" customHeight="1">
      <x:c r="A115" s="4"/>
      <x:c r="B115" s="5"/>
      <x:c r="C115" s="63">
        <x:v>108</x:v>
      </x:c>
      <x:c r="D115" s="5" t="s">
        <x:v>1123</x:v>
      </x:c>
      <x:c r="E115" s="10" t="n">
        <x:f>0</x:f>
        <x:v>0</x:v>
      </x:c>
      <x:c r="F115" s="10" t="n">
        <x:f>0</x:f>
        <x:v>0</x:v>
      </x:c>
      <x:c r="G115" s="10" t="n">
        <x:f>0</x:f>
        <x:v>0</x:v>
      </x:c>
      <x:c r="H115" s="10" t="n">
        <x:f>0</x:f>
        <x:v>0</x:v>
      </x:c>
      <x:c r="I115" s="27" t="n">
        <x:f>Landlord!J23/Inputs!$D$16</x:f>
        <x:v>1788399.2371153152</x:v>
      </x:c>
      <x:c r="J115" s="27" t="n">
        <x:f>Landlord!J24/Inputs!$D$16</x:f>
        <x:v>-682150.0000000001</x:v>
      </x:c>
      <x:c r="K115" s="10" t="n">
        <x:f>0</x:f>
        <x:v>0</x:v>
      </x:c>
      <x:c r="L115" s="10" t="n">
        <x:f>0</x:f>
        <x:v>0</x:v>
      </x:c>
      <x:c r="M115" s="10" t="n">
        <x:f>SUM(E115,I115,K115)</x:f>
        <x:v>1788399.2371153152</x:v>
      </x:c>
      <x:c r="N115" s="64" t="n">
        <x:f>SUM(E115:L115)</x:f>
        <x:v>1106249.2371153152</x:v>
      </x:c>
    </x:row>
    <x:row r="116" ht="22.75" customHeight="1">
      <x:c r="A116" s="4"/>
      <x:c r="B116" s="5"/>
      <x:c r="C116" s="65">
        <x:v>109</x:v>
      </x:c>
      <x:c r="D116" s="18" t="s">
        <x:v>1123</x:v>
      </x:c>
      <x:c r="E116" s="25" t="n">
        <x:f>0</x:f>
        <x:v>0</x:v>
      </x:c>
      <x:c r="F116" s="25" t="n">
        <x:f>0</x:f>
        <x:v>0</x:v>
      </x:c>
      <x:c r="G116" s="25" t="n">
        <x:f>0</x:f>
        <x:v>0</x:v>
      </x:c>
      <x:c r="H116" s="25" t="n">
        <x:f>0</x:f>
        <x:v>0</x:v>
      </x:c>
      <x:c r="I116" s="28" t="n">
        <x:f>Landlord!K23/Inputs!$D$16</x:f>
        <x:v>1829004.6632738796</x:v>
      </x:c>
      <x:c r="J116" s="28" t="n">
        <x:f>Landlord!K24/Inputs!$D$16</x:f>
        <x:v>-682150.0000000001</x:v>
      </x:c>
      <x:c r="K116" s="25" t="n">
        <x:f>0</x:f>
        <x:v>0</x:v>
      </x:c>
      <x:c r="L116" s="25" t="n">
        <x:f>0</x:f>
        <x:v>0</x:v>
      </x:c>
      <x:c r="M116" s="25" t="n">
        <x:f>SUM(E116,I116,K116)</x:f>
        <x:v>1829004.6632738796</x:v>
      </x:c>
      <x:c r="N116" s="66" t="n">
        <x:f>SUM(E116:L116)</x:f>
        <x:v>1146854.6632738793</x:v>
      </x:c>
    </x:row>
    <x:row r="117" ht="22.75" customHeight="1">
      <x:c r="A117" s="4"/>
      <x:c r="B117" s="5"/>
      <x:c r="C117" s="63">
        <x:v>110</x:v>
      </x:c>
      <x:c r="D117" s="5" t="s">
        <x:v>1123</x:v>
      </x:c>
      <x:c r="E117" s="10" t="n">
        <x:f>0</x:f>
        <x:v>0</x:v>
      </x:c>
      <x:c r="F117" s="10" t="n">
        <x:f>0</x:f>
        <x:v>0</x:v>
      </x:c>
      <x:c r="G117" s="10" t="n">
        <x:f>0</x:f>
        <x:v>0</x:v>
      </x:c>
      <x:c r="H117" s="10" t="n">
        <x:f>0</x:f>
        <x:v>0</x:v>
      </x:c>
      <x:c r="I117" s="27" t="n">
        <x:f>Landlord!K23/Inputs!$D$16</x:f>
        <x:v>1829004.6632738796</x:v>
      </x:c>
      <x:c r="J117" s="27" t="n">
        <x:f>Landlord!K24/Inputs!$D$16</x:f>
        <x:v>-682150.0000000001</x:v>
      </x:c>
      <x:c r="K117" s="10" t="n">
        <x:f>0</x:f>
        <x:v>0</x:v>
      </x:c>
      <x:c r="L117" s="10" t="n">
        <x:f>0</x:f>
        <x:v>0</x:v>
      </x:c>
      <x:c r="M117" s="10" t="n">
        <x:f>SUM(E117,I117,K117)</x:f>
        <x:v>1829004.6632738796</x:v>
      </x:c>
      <x:c r="N117" s="64" t="n">
        <x:f>SUM(E117:L117)</x:f>
        <x:v>1146854.6632738793</x:v>
      </x:c>
    </x:row>
    <x:row r="118" ht="22.75" customHeight="1">
      <x:c r="A118" s="4"/>
      <x:c r="B118" s="5"/>
      <x:c r="C118" s="65">
        <x:v>111</x:v>
      </x:c>
      <x:c r="D118" s="18" t="s">
        <x:v>1123</x:v>
      </x:c>
      <x:c r="E118" s="25" t="n">
        <x:f>0</x:f>
        <x:v>0</x:v>
      </x:c>
      <x:c r="F118" s="25" t="n">
        <x:f>0</x:f>
        <x:v>0</x:v>
      </x:c>
      <x:c r="G118" s="25" t="n">
        <x:f>0</x:f>
        <x:v>0</x:v>
      </x:c>
      <x:c r="H118" s="25" t="n">
        <x:f>0</x:f>
        <x:v>0</x:v>
      </x:c>
      <x:c r="I118" s="28" t="n">
        <x:f>Landlord!K23/Inputs!$D$16</x:f>
        <x:v>1829004.6632738796</x:v>
      </x:c>
      <x:c r="J118" s="28" t="n">
        <x:f>Landlord!K24/Inputs!$D$16</x:f>
        <x:v>-682150.0000000001</x:v>
      </x:c>
      <x:c r="K118" s="25" t="n">
        <x:f>0</x:f>
        <x:v>0</x:v>
      </x:c>
      <x:c r="L118" s="25" t="n">
        <x:f>0</x:f>
        <x:v>0</x:v>
      </x:c>
      <x:c r="M118" s="25" t="n">
        <x:f>SUM(E118,I118,K118)</x:f>
        <x:v>1829004.6632738796</x:v>
      </x:c>
      <x:c r="N118" s="66" t="n">
        <x:f>SUM(E118:L118)</x:f>
        <x:v>1146854.6632738793</x:v>
      </x:c>
    </x:row>
    <x:row r="119" ht="22.75" customHeight="1">
      <x:c r="A119" s="4"/>
      <x:c r="B119" s="5"/>
      <x:c r="C119" s="63">
        <x:v>112</x:v>
      </x:c>
      <x:c r="D119" s="5" t="s">
        <x:v>1123</x:v>
      </x:c>
      <x:c r="E119" s="10" t="n">
        <x:f>0</x:f>
        <x:v>0</x:v>
      </x:c>
      <x:c r="F119" s="10" t="n">
        <x:f>0</x:f>
        <x:v>0</x:v>
      </x:c>
      <x:c r="G119" s="10" t="n">
        <x:f>0</x:f>
        <x:v>0</x:v>
      </x:c>
      <x:c r="H119" s="10" t="n">
        <x:f>0</x:f>
        <x:v>0</x:v>
      </x:c>
      <x:c r="I119" s="27" t="n">
        <x:f>Landlord!K23/Inputs!$D$16</x:f>
        <x:v>1829004.6632738796</x:v>
      </x:c>
      <x:c r="J119" s="27" t="n">
        <x:f>Landlord!K24/Inputs!$D$16</x:f>
        <x:v>-682150.0000000001</x:v>
      </x:c>
      <x:c r="K119" s="10" t="n">
        <x:f>0</x:f>
        <x:v>0</x:v>
      </x:c>
      <x:c r="L119" s="10" t="n">
        <x:f>0</x:f>
        <x:v>0</x:v>
      </x:c>
      <x:c r="M119" s="10" t="n">
        <x:f>SUM(E119,I119,K119)</x:f>
        <x:v>1829004.6632738796</x:v>
      </x:c>
      <x:c r="N119" s="64" t="n">
        <x:f>SUM(E119:L119)</x:f>
        <x:v>1146854.6632738793</x:v>
      </x:c>
    </x:row>
    <x:row r="120" ht="22.75" customHeight="1">
      <x:c r="A120" s="4"/>
      <x:c r="B120" s="5"/>
      <x:c r="C120" s="65">
        <x:v>113</x:v>
      </x:c>
      <x:c r="D120" s="18" t="s">
        <x:v>1123</x:v>
      </x:c>
      <x:c r="E120" s="25" t="n">
        <x:f>0</x:f>
        <x:v>0</x:v>
      </x:c>
      <x:c r="F120" s="25" t="n">
        <x:f>0</x:f>
        <x:v>0</x:v>
      </x:c>
      <x:c r="G120" s="25" t="n">
        <x:f>0</x:f>
        <x:v>0</x:v>
      </x:c>
      <x:c r="H120" s="25" t="n">
        <x:f>0</x:f>
        <x:v>0</x:v>
      </x:c>
      <x:c r="I120" s="28" t="n">
        <x:f>Landlord!K23/Inputs!$D$16</x:f>
        <x:v>1829004.6632738796</x:v>
      </x:c>
      <x:c r="J120" s="28" t="n">
        <x:f>Landlord!K24/Inputs!$D$16</x:f>
        <x:v>-682150.0000000001</x:v>
      </x:c>
      <x:c r="K120" s="25" t="n">
        <x:f>0</x:f>
        <x:v>0</x:v>
      </x:c>
      <x:c r="L120" s="25" t="n">
        <x:f>0</x:f>
        <x:v>0</x:v>
      </x:c>
      <x:c r="M120" s="25" t="n">
        <x:f>SUM(E120,I120,K120)</x:f>
        <x:v>1829004.6632738796</x:v>
      </x:c>
      <x:c r="N120" s="66" t="n">
        <x:f>SUM(E120:L120)</x:f>
        <x:v>1146854.6632738793</x:v>
      </x:c>
    </x:row>
    <x:row r="121" ht="22.75" customHeight="1">
      <x:c r="A121" s="4"/>
      <x:c r="B121" s="5"/>
      <x:c r="C121" s="63">
        <x:v>114</x:v>
      </x:c>
      <x:c r="D121" s="5" t="s">
        <x:v>1123</x:v>
      </x:c>
      <x:c r="E121" s="10" t="n">
        <x:f>0</x:f>
        <x:v>0</x:v>
      </x:c>
      <x:c r="F121" s="10" t="n">
        <x:f>0</x:f>
        <x:v>0</x:v>
      </x:c>
      <x:c r="G121" s="10" t="n">
        <x:f>0</x:f>
        <x:v>0</x:v>
      </x:c>
      <x:c r="H121" s="10" t="n">
        <x:f>0</x:f>
        <x:v>0</x:v>
      </x:c>
      <x:c r="I121" s="27" t="n">
        <x:f>Landlord!K23/Inputs!$D$16</x:f>
        <x:v>1829004.6632738796</x:v>
      </x:c>
      <x:c r="J121" s="27" t="n">
        <x:f>Landlord!K24/Inputs!$D$16</x:f>
        <x:v>-682150.0000000001</x:v>
      </x:c>
      <x:c r="K121" s="10" t="n">
        <x:f>0</x:f>
        <x:v>0</x:v>
      </x:c>
      <x:c r="L121" s="10" t="n">
        <x:f>0</x:f>
        <x:v>0</x:v>
      </x:c>
      <x:c r="M121" s="10" t="n">
        <x:f>SUM(E121,I121,K121)</x:f>
        <x:v>1829004.6632738796</x:v>
      </x:c>
      <x:c r="N121" s="64" t="n">
        <x:f>SUM(E121:L121)</x:f>
        <x:v>1146854.6632738793</x:v>
      </x:c>
    </x:row>
    <x:row r="122" ht="22.75" customHeight="1">
      <x:c r="A122" s="4"/>
      <x:c r="B122" s="5"/>
      <x:c r="C122" s="65">
        <x:v>115</x:v>
      </x:c>
      <x:c r="D122" s="18" t="s">
        <x:v>1123</x:v>
      </x:c>
      <x:c r="E122" s="25" t="n">
        <x:f>0</x:f>
        <x:v>0</x:v>
      </x:c>
      <x:c r="F122" s="25" t="n">
        <x:f>0</x:f>
        <x:v>0</x:v>
      </x:c>
      <x:c r="G122" s="25" t="n">
        <x:f>0</x:f>
        <x:v>0</x:v>
      </x:c>
      <x:c r="H122" s="25" t="n">
        <x:f>0</x:f>
        <x:v>0</x:v>
      </x:c>
      <x:c r="I122" s="28" t="n">
        <x:f>Landlord!K23/Inputs!$D$16</x:f>
        <x:v>1829004.6632738796</x:v>
      </x:c>
      <x:c r="J122" s="28" t="n">
        <x:f>Landlord!K24/Inputs!$D$16</x:f>
        <x:v>-682150.0000000001</x:v>
      </x:c>
      <x:c r="K122" s="25" t="n">
        <x:f>0</x:f>
        <x:v>0</x:v>
      </x:c>
      <x:c r="L122" s="25" t="n">
        <x:f>0</x:f>
        <x:v>0</x:v>
      </x:c>
      <x:c r="M122" s="25" t="n">
        <x:f>SUM(E122,I122,K122)</x:f>
        <x:v>1829004.6632738796</x:v>
      </x:c>
      <x:c r="N122" s="66" t="n">
        <x:f>SUM(E122:L122)</x:f>
        <x:v>1146854.6632738793</x:v>
      </x:c>
    </x:row>
    <x:row r="123" ht="22.75" customHeight="1">
      <x:c r="A123" s="4"/>
      <x:c r="B123" s="5"/>
      <x:c r="C123" s="63">
        <x:v>116</x:v>
      </x:c>
      <x:c r="D123" s="5" t="s">
        <x:v>1123</x:v>
      </x:c>
      <x:c r="E123" s="10" t="n">
        <x:f>0</x:f>
        <x:v>0</x:v>
      </x:c>
      <x:c r="F123" s="10" t="n">
        <x:f>0</x:f>
        <x:v>0</x:v>
      </x:c>
      <x:c r="G123" s="10" t="n">
        <x:f>0</x:f>
        <x:v>0</x:v>
      </x:c>
      <x:c r="H123" s="10" t="n">
        <x:f>0</x:f>
        <x:v>0</x:v>
      </x:c>
      <x:c r="I123" s="27" t="n">
        <x:f>Landlord!K23/Inputs!$D$16</x:f>
        <x:v>1829004.6632738796</x:v>
      </x:c>
      <x:c r="J123" s="27" t="n">
        <x:f>Landlord!K24/Inputs!$D$16</x:f>
        <x:v>-682150.0000000001</x:v>
      </x:c>
      <x:c r="K123" s="10" t="n">
        <x:f>0</x:f>
        <x:v>0</x:v>
      </x:c>
      <x:c r="L123" s="10" t="n">
        <x:f>0</x:f>
        <x:v>0</x:v>
      </x:c>
      <x:c r="M123" s="10" t="n">
        <x:f>SUM(E123,I123,K123)</x:f>
        <x:v>1829004.6632738796</x:v>
      </x:c>
      <x:c r="N123" s="64" t="n">
        <x:f>SUM(E123:L123)</x:f>
        <x:v>1146854.6632738793</x:v>
      </x:c>
    </x:row>
    <x:row r="124" ht="22.75" customHeight="1">
      <x:c r="A124" s="4"/>
      <x:c r="B124" s="5"/>
      <x:c r="C124" s="65">
        <x:v>117</x:v>
      </x:c>
      <x:c r="D124" s="18" t="s">
        <x:v>1123</x:v>
      </x:c>
      <x:c r="E124" s="25" t="n">
        <x:f>0</x:f>
        <x:v>0</x:v>
      </x:c>
      <x:c r="F124" s="25" t="n">
        <x:f>0</x:f>
        <x:v>0</x:v>
      </x:c>
      <x:c r="G124" s="25" t="n">
        <x:f>0</x:f>
        <x:v>0</x:v>
      </x:c>
      <x:c r="H124" s="25" t="n">
        <x:f>0</x:f>
        <x:v>0</x:v>
      </x:c>
      <x:c r="I124" s="28" t="n">
        <x:f>Landlord!K23/Inputs!$D$16</x:f>
        <x:v>1829004.6632738796</x:v>
      </x:c>
      <x:c r="J124" s="28" t="n">
        <x:f>Landlord!K24/Inputs!$D$16</x:f>
        <x:v>-682150.0000000001</x:v>
      </x:c>
      <x:c r="K124" s="25" t="n">
        <x:f>0</x:f>
        <x:v>0</x:v>
      </x:c>
      <x:c r="L124" s="25" t="n">
        <x:f>0</x:f>
        <x:v>0</x:v>
      </x:c>
      <x:c r="M124" s="25" t="n">
        <x:f>SUM(E124,I124,K124)</x:f>
        <x:v>1829004.6632738796</x:v>
      </x:c>
      <x:c r="N124" s="66" t="n">
        <x:f>SUM(E124:L124)</x:f>
        <x:v>1146854.6632738793</x:v>
      </x:c>
    </x:row>
    <x:row r="125" ht="22.75" customHeight="1">
      <x:c r="A125" s="4"/>
      <x:c r="B125" s="5"/>
      <x:c r="C125" s="63">
        <x:v>118</x:v>
      </x:c>
      <x:c r="D125" s="5" t="s">
        <x:v>1123</x:v>
      </x:c>
      <x:c r="E125" s="10" t="n">
        <x:f>0</x:f>
        <x:v>0</x:v>
      </x:c>
      <x:c r="F125" s="10" t="n">
        <x:f>0</x:f>
        <x:v>0</x:v>
      </x:c>
      <x:c r="G125" s="10" t="n">
        <x:f>0</x:f>
        <x:v>0</x:v>
      </x:c>
      <x:c r="H125" s="10" t="n">
        <x:f>0</x:f>
        <x:v>0</x:v>
      </x:c>
      <x:c r="I125" s="27" t="n">
        <x:f>Landlord!K23/Inputs!$D$16</x:f>
        <x:v>1829004.6632738796</x:v>
      </x:c>
      <x:c r="J125" s="27" t="n">
        <x:f>Landlord!K24/Inputs!$D$16</x:f>
        <x:v>-682150.0000000001</x:v>
      </x:c>
      <x:c r="K125" s="10" t="n">
        <x:f>0</x:f>
        <x:v>0</x:v>
      </x:c>
      <x:c r="L125" s="10" t="n">
        <x:f>0</x:f>
        <x:v>0</x:v>
      </x:c>
      <x:c r="M125" s="10" t="n">
        <x:f>SUM(E125,I125,K125)</x:f>
        <x:v>1829004.6632738796</x:v>
      </x:c>
      <x:c r="N125" s="64" t="n">
        <x:f>SUM(E125:L125)</x:f>
        <x:v>1146854.6632738793</x:v>
      </x:c>
    </x:row>
    <x:row r="126" ht="22.75" customHeight="1">
      <x:c r="A126" s="4"/>
      <x:c r="B126" s="5"/>
      <x:c r="C126" s="65">
        <x:v>119</x:v>
      </x:c>
      <x:c r="D126" s="18" t="s">
        <x:v>1123</x:v>
      </x:c>
      <x:c r="E126" s="25" t="n">
        <x:f>0</x:f>
        <x:v>0</x:v>
      </x:c>
      <x:c r="F126" s="25" t="n">
        <x:f>0</x:f>
        <x:v>0</x:v>
      </x:c>
      <x:c r="G126" s="25" t="n">
        <x:f>0</x:f>
        <x:v>0</x:v>
      </x:c>
      <x:c r="H126" s="25" t="n">
        <x:f>0</x:f>
        <x:v>0</x:v>
      </x:c>
      <x:c r="I126" s="28" t="n">
        <x:f>Landlord!K23/Inputs!$D$16</x:f>
        <x:v>1829004.6632738796</x:v>
      </x:c>
      <x:c r="J126" s="28" t="n">
        <x:f>Landlord!K24/Inputs!$D$16</x:f>
        <x:v>-682150.0000000001</x:v>
      </x:c>
      <x:c r="K126" s="25" t="n">
        <x:f>0</x:f>
        <x:v>0</x:v>
      </x:c>
      <x:c r="L126" s="25" t="n">
        <x:f>0</x:f>
        <x:v>0</x:v>
      </x:c>
      <x:c r="M126" s="25" t="n">
        <x:f>SUM(E126,I126,K126)</x:f>
        <x:v>1829004.6632738796</x:v>
      </x:c>
      <x:c r="N126" s="66" t="n">
        <x:f>SUM(E126:L126)</x:f>
        <x:v>1146854.6632738793</x:v>
      </x:c>
    </x:row>
    <x:row r="127" ht="22.75" customHeight="1">
      <x:c r="A127" s="4"/>
      <x:c r="B127" s="5"/>
      <x:c r="C127" s="63">
        <x:v>120</x:v>
      </x:c>
      <x:c r="D127" s="5" t="s">
        <x:v>1123</x:v>
      </x:c>
      <x:c r="E127" s="10" t="n">
        <x:f>0</x:f>
        <x:v>0</x:v>
      </x:c>
      <x:c r="F127" s="10" t="n">
        <x:f>0</x:f>
        <x:v>0</x:v>
      </x:c>
      <x:c r="G127" s="10" t="n">
        <x:f>0</x:f>
        <x:v>0</x:v>
      </x:c>
      <x:c r="H127" s="10" t="n">
        <x:f>0</x:f>
        <x:v>0</x:v>
      </x:c>
      <x:c r="I127" s="27" t="n">
        <x:f>Landlord!K23/Inputs!$D$16</x:f>
        <x:v>1829004.6632738796</x:v>
      </x:c>
      <x:c r="J127" s="27" t="n">
        <x:f>Landlord!K24/Inputs!$D$16</x:f>
        <x:v>-682150.0000000001</x:v>
      </x:c>
      <x:c r="K127" s="10" t="n">
        <x:f>0</x:f>
        <x:v>0</x:v>
      </x:c>
      <x:c r="L127" s="10" t="n">
        <x:f>0</x:f>
        <x:v>0</x:v>
      </x:c>
      <x:c r="M127" s="10" t="n">
        <x:f>SUM(E127,I127,K127)</x:f>
        <x:v>1829004.6632738796</x:v>
      </x:c>
      <x:c r="N127" s="64" t="n">
        <x:f>SUM(E127:L127)</x:f>
        <x:v>1146854.6632738793</x:v>
      </x:c>
    </x:row>
    <x:row r="128" ht="22.75" customHeight="1">
      <x:c r="A128" s="4"/>
      <x:c r="B128" s="5"/>
      <x:c r="C128" s="65">
        <x:v>121</x:v>
      </x:c>
      <x:c r="D128" s="18" t="s">
        <x:v>1123</x:v>
      </x:c>
      <x:c r="E128" s="25" t="n">
        <x:f>0</x:f>
        <x:v>0</x:v>
      </x:c>
      <x:c r="F128" s="25" t="n">
        <x:f>0</x:f>
        <x:v>0</x:v>
      </x:c>
      <x:c r="G128" s="25" t="n">
        <x:f>0</x:f>
        <x:v>0</x:v>
      </x:c>
      <x:c r="H128" s="25" t="n">
        <x:f>0</x:f>
        <x:v>0</x:v>
      </x:c>
      <x:c r="I128" s="28" t="n">
        <x:f>Landlord!L23/Inputs!$D$16</x:f>
        <x:v>1870502.0884433289</x:v>
      </x:c>
      <x:c r="J128" s="28" t="n">
        <x:f>Landlord!L24/Inputs!$D$16</x:f>
        <x:v>-682150.0000000001</x:v>
      </x:c>
      <x:c r="K128" s="25" t="n">
        <x:f>0</x:f>
        <x:v>0</x:v>
      </x:c>
      <x:c r="L128" s="25" t="n">
        <x:f>0</x:f>
        <x:v>0</x:v>
      </x:c>
      <x:c r="M128" s="25" t="n">
        <x:f>SUM(E128,I128,K128)</x:f>
        <x:v>1870502.0884433289</x:v>
      </x:c>
      <x:c r="N128" s="66" t="n">
        <x:f>SUM(E128:L128)</x:f>
        <x:v>1188352.0884433286</x:v>
      </x:c>
    </x:row>
    <x:row r="129" ht="22.75" customHeight="1">
      <x:c r="A129" s="4"/>
      <x:c r="B129" s="5"/>
      <x:c r="C129" s="63">
        <x:v>122</x:v>
      </x:c>
      <x:c r="D129" s="5" t="s">
        <x:v>1123</x:v>
      </x:c>
      <x:c r="E129" s="10" t="n">
        <x:f>0</x:f>
        <x:v>0</x:v>
      </x:c>
      <x:c r="F129" s="10" t="n">
        <x:f>0</x:f>
        <x:v>0</x:v>
      </x:c>
      <x:c r="G129" s="10" t="n">
        <x:f>0</x:f>
        <x:v>0</x:v>
      </x:c>
      <x:c r="H129" s="10" t="n">
        <x:f>0</x:f>
        <x:v>0</x:v>
      </x:c>
      <x:c r="I129" s="27" t="n">
        <x:f>Landlord!L23/Inputs!$D$16</x:f>
        <x:v>1870502.0884433289</x:v>
      </x:c>
      <x:c r="J129" s="27" t="n">
        <x:f>Landlord!L24/Inputs!$D$16</x:f>
        <x:v>-682150.0000000001</x:v>
      </x:c>
      <x:c r="K129" s="10" t="n">
        <x:f>0</x:f>
        <x:v>0</x:v>
      </x:c>
      <x:c r="L129" s="10" t="n">
        <x:f>0</x:f>
        <x:v>0</x:v>
      </x:c>
      <x:c r="M129" s="10" t="n">
        <x:f>SUM(E129,I129,K129)</x:f>
        <x:v>1870502.0884433289</x:v>
      </x:c>
      <x:c r="N129" s="64" t="n">
        <x:f>SUM(E129:L129)</x:f>
        <x:v>1188352.0884433286</x:v>
      </x:c>
    </x:row>
    <x:row r="130" ht="22.75" customHeight="1">
      <x:c r="A130" s="4"/>
      <x:c r="B130" s="5"/>
      <x:c r="C130" s="65">
        <x:v>123</x:v>
      </x:c>
      <x:c r="D130" s="18" t="s">
        <x:v>1123</x:v>
      </x:c>
      <x:c r="E130" s="25" t="n">
        <x:f>0</x:f>
        <x:v>0</x:v>
      </x:c>
      <x:c r="F130" s="25" t="n">
        <x:f>0</x:f>
        <x:v>0</x:v>
      </x:c>
      <x:c r="G130" s="25" t="n">
        <x:f>0</x:f>
        <x:v>0</x:v>
      </x:c>
      <x:c r="H130" s="25" t="n">
        <x:f>0</x:f>
        <x:v>0</x:v>
      </x:c>
      <x:c r="I130" s="28" t="n">
        <x:f>Landlord!L23/Inputs!$D$16</x:f>
        <x:v>1870502.0884433289</x:v>
      </x:c>
      <x:c r="J130" s="28" t="n">
        <x:f>Landlord!L24/Inputs!$D$16</x:f>
        <x:v>-682150.0000000001</x:v>
      </x:c>
      <x:c r="K130" s="25" t="n">
        <x:f>0</x:f>
        <x:v>0</x:v>
      </x:c>
      <x:c r="L130" s="25" t="n">
        <x:f>0</x:f>
        <x:v>0</x:v>
      </x:c>
      <x:c r="M130" s="25" t="n">
        <x:f>SUM(E130,I130,K130)</x:f>
        <x:v>1870502.0884433289</x:v>
      </x:c>
      <x:c r="N130" s="66" t="n">
        <x:f>SUM(E130:L130)</x:f>
        <x:v>1188352.0884433286</x:v>
      </x:c>
    </x:row>
    <x:row r="131" ht="22.75" customHeight="1">
      <x:c r="A131" s="4"/>
      <x:c r="B131" s="5"/>
      <x:c r="C131" s="63">
        <x:v>124</x:v>
      </x:c>
      <x:c r="D131" s="5" t="s">
        <x:v>1123</x:v>
      </x:c>
      <x:c r="E131" s="10" t="n">
        <x:f>0</x:f>
        <x:v>0</x:v>
      </x:c>
      <x:c r="F131" s="10" t="n">
        <x:f>0</x:f>
        <x:v>0</x:v>
      </x:c>
      <x:c r="G131" s="10" t="n">
        <x:f>0</x:f>
        <x:v>0</x:v>
      </x:c>
      <x:c r="H131" s="10" t="n">
        <x:f>0</x:f>
        <x:v>0</x:v>
      </x:c>
      <x:c r="I131" s="27" t="n">
        <x:f>Landlord!L23/Inputs!$D$16</x:f>
        <x:v>1870502.0884433289</x:v>
      </x:c>
      <x:c r="J131" s="27" t="n">
        <x:f>Landlord!L24/Inputs!$D$16</x:f>
        <x:v>-682150.0000000001</x:v>
      </x:c>
      <x:c r="K131" s="10" t="n">
        <x:f>0</x:f>
        <x:v>0</x:v>
      </x:c>
      <x:c r="L131" s="10" t="n">
        <x:f>0</x:f>
        <x:v>0</x:v>
      </x:c>
      <x:c r="M131" s="10" t="n">
        <x:f>SUM(E131,I131,K131)</x:f>
        <x:v>1870502.0884433289</x:v>
      </x:c>
      <x:c r="N131" s="64" t="n">
        <x:f>SUM(E131:L131)</x:f>
        <x:v>1188352.0884433286</x:v>
      </x:c>
    </x:row>
    <x:row r="132" ht="22.75" customHeight="1">
      <x:c r="A132" s="4"/>
      <x:c r="B132" s="5"/>
      <x:c r="C132" s="65">
        <x:v>125</x:v>
      </x:c>
      <x:c r="D132" s="18" t="s">
        <x:v>1123</x:v>
      </x:c>
      <x:c r="E132" s="25" t="n">
        <x:f>0</x:f>
        <x:v>0</x:v>
      </x:c>
      <x:c r="F132" s="25" t="n">
        <x:f>0</x:f>
        <x:v>0</x:v>
      </x:c>
      <x:c r="G132" s="25" t="n">
        <x:f>0</x:f>
        <x:v>0</x:v>
      </x:c>
      <x:c r="H132" s="25" t="n">
        <x:f>0</x:f>
        <x:v>0</x:v>
      </x:c>
      <x:c r="I132" s="28" t="n">
        <x:f>Landlord!L23/Inputs!$D$16</x:f>
        <x:v>1870502.0884433289</x:v>
      </x:c>
      <x:c r="J132" s="28" t="n">
        <x:f>Landlord!L24/Inputs!$D$16</x:f>
        <x:v>-682150.0000000001</x:v>
      </x:c>
      <x:c r="K132" s="25" t="n">
        <x:f>0</x:f>
        <x:v>0</x:v>
      </x:c>
      <x:c r="L132" s="25" t="n">
        <x:f>0</x:f>
        <x:v>0</x:v>
      </x:c>
      <x:c r="M132" s="25" t="n">
        <x:f>SUM(E132,I132,K132)</x:f>
        <x:v>1870502.0884433289</x:v>
      </x:c>
      <x:c r="N132" s="66" t="n">
        <x:f>SUM(E132:L132)</x:f>
        <x:v>1188352.0884433286</x:v>
      </x:c>
    </x:row>
    <x:row r="133" ht="22.75" customHeight="1">
      <x:c r="A133" s="4"/>
      <x:c r="B133" s="5"/>
      <x:c r="C133" s="63">
        <x:v>126</x:v>
      </x:c>
      <x:c r="D133" s="5" t="s">
        <x:v>1123</x:v>
      </x:c>
      <x:c r="E133" s="10" t="n">
        <x:f>0</x:f>
        <x:v>0</x:v>
      </x:c>
      <x:c r="F133" s="10" t="n">
        <x:f>0</x:f>
        <x:v>0</x:v>
      </x:c>
      <x:c r="G133" s="10" t="n">
        <x:f>0</x:f>
        <x:v>0</x:v>
      </x:c>
      <x:c r="H133" s="10" t="n">
        <x:f>0</x:f>
        <x:v>0</x:v>
      </x:c>
      <x:c r="I133" s="27" t="n">
        <x:f>Landlord!L23/Inputs!$D$16</x:f>
        <x:v>1870502.0884433289</x:v>
      </x:c>
      <x:c r="J133" s="27" t="n">
        <x:f>Landlord!L24/Inputs!$D$16</x:f>
        <x:v>-682150.0000000001</x:v>
      </x:c>
      <x:c r="K133" s="10" t="n">
        <x:f>0</x:f>
        <x:v>0</x:v>
      </x:c>
      <x:c r="L133" s="10" t="n">
        <x:f>0</x:f>
        <x:v>0</x:v>
      </x:c>
      <x:c r="M133" s="10" t="n">
        <x:f>SUM(E133,I133,K133)</x:f>
        <x:v>1870502.0884433289</x:v>
      </x:c>
      <x:c r="N133" s="64" t="n">
        <x:f>SUM(E133:L133)</x:f>
        <x:v>1188352.0884433286</x:v>
      </x:c>
    </x:row>
    <x:row r="134" ht="22.75" customHeight="1">
      <x:c r="A134" s="4"/>
      <x:c r="B134" s="5"/>
      <x:c r="C134" s="65">
        <x:v>127</x:v>
      </x:c>
      <x:c r="D134" s="18" t="s">
        <x:v>1123</x:v>
      </x:c>
      <x:c r="E134" s="25" t="n">
        <x:f>0</x:f>
        <x:v>0</x:v>
      </x:c>
      <x:c r="F134" s="25" t="n">
        <x:f>0</x:f>
        <x:v>0</x:v>
      </x:c>
      <x:c r="G134" s="25" t="n">
        <x:f>0</x:f>
        <x:v>0</x:v>
      </x:c>
      <x:c r="H134" s="25" t="n">
        <x:f>0</x:f>
        <x:v>0</x:v>
      </x:c>
      <x:c r="I134" s="28" t="n">
        <x:f>Landlord!L23/Inputs!$D$16</x:f>
        <x:v>1870502.0884433289</x:v>
      </x:c>
      <x:c r="J134" s="28" t="n">
        <x:f>Landlord!L24/Inputs!$D$16</x:f>
        <x:v>-682150.0000000001</x:v>
      </x:c>
      <x:c r="K134" s="25" t="n">
        <x:f>0</x:f>
        <x:v>0</x:v>
      </x:c>
      <x:c r="L134" s="25" t="n">
        <x:f>0</x:f>
        <x:v>0</x:v>
      </x:c>
      <x:c r="M134" s="25" t="n">
        <x:f>SUM(E134,I134,K134)</x:f>
        <x:v>1870502.0884433289</x:v>
      </x:c>
      <x:c r="N134" s="66" t="n">
        <x:f>SUM(E134:L134)</x:f>
        <x:v>1188352.0884433286</x:v>
      </x:c>
    </x:row>
    <x:row r="135" ht="22.75" customHeight="1">
      <x:c r="A135" s="4"/>
      <x:c r="B135" s="5"/>
      <x:c r="C135" s="63">
        <x:v>128</x:v>
      </x:c>
      <x:c r="D135" s="5" t="s">
        <x:v>1123</x:v>
      </x:c>
      <x:c r="E135" s="10" t="n">
        <x:f>0</x:f>
        <x:v>0</x:v>
      </x:c>
      <x:c r="F135" s="10" t="n">
        <x:f>0</x:f>
        <x:v>0</x:v>
      </x:c>
      <x:c r="G135" s="10" t="n">
        <x:f>0</x:f>
        <x:v>0</x:v>
      </x:c>
      <x:c r="H135" s="10" t="n">
        <x:f>0</x:f>
        <x:v>0</x:v>
      </x:c>
      <x:c r="I135" s="27" t="n">
        <x:f>Landlord!L23/Inputs!$D$16</x:f>
        <x:v>1870502.0884433289</x:v>
      </x:c>
      <x:c r="J135" s="27" t="n">
        <x:f>Landlord!L24/Inputs!$D$16</x:f>
        <x:v>-682150.0000000001</x:v>
      </x:c>
      <x:c r="K135" s="10" t="n">
        <x:f>0</x:f>
        <x:v>0</x:v>
      </x:c>
      <x:c r="L135" s="10" t="n">
        <x:f>0</x:f>
        <x:v>0</x:v>
      </x:c>
      <x:c r="M135" s="10" t="n">
        <x:f>SUM(E135,I135,K135)</x:f>
        <x:v>1870502.0884433289</x:v>
      </x:c>
      <x:c r="N135" s="64" t="n">
        <x:f>SUM(E135:L135)</x:f>
        <x:v>1188352.0884433286</x:v>
      </x:c>
    </x:row>
    <x:row r="136" ht="22.75" customHeight="1">
      <x:c r="A136" s="4"/>
      <x:c r="B136" s="5"/>
      <x:c r="C136" s="65">
        <x:v>129</x:v>
      </x:c>
      <x:c r="D136" s="18" t="s">
        <x:v>1123</x:v>
      </x:c>
      <x:c r="E136" s="25" t="n">
        <x:f>0</x:f>
        <x:v>0</x:v>
      </x:c>
      <x:c r="F136" s="25" t="n">
        <x:f>0</x:f>
        <x:v>0</x:v>
      </x:c>
      <x:c r="G136" s="25" t="n">
        <x:f>0</x:f>
        <x:v>0</x:v>
      </x:c>
      <x:c r="H136" s="25" t="n">
        <x:f>0</x:f>
        <x:v>0</x:v>
      </x:c>
      <x:c r="I136" s="28" t="n">
        <x:f>Landlord!L23/Inputs!$D$16</x:f>
        <x:v>1870502.0884433289</x:v>
      </x:c>
      <x:c r="J136" s="28" t="n">
        <x:f>Landlord!L24/Inputs!$D$16</x:f>
        <x:v>-682150.0000000001</x:v>
      </x:c>
      <x:c r="K136" s="25" t="n">
        <x:f>0</x:f>
        <x:v>0</x:v>
      </x:c>
      <x:c r="L136" s="25" t="n">
        <x:f>0</x:f>
        <x:v>0</x:v>
      </x:c>
      <x:c r="M136" s="25" t="n">
        <x:f>SUM(E136,I136,K136)</x:f>
        <x:v>1870502.0884433289</x:v>
      </x:c>
      <x:c r="N136" s="66" t="n">
        <x:f>SUM(E136:L136)</x:f>
        <x:v>1188352.0884433286</x:v>
      </x:c>
    </x:row>
    <x:row r="137" ht="22.75" customHeight="1">
      <x:c r="A137" s="4"/>
      <x:c r="B137" s="5"/>
      <x:c r="C137" s="63">
        <x:v>130</x:v>
      </x:c>
      <x:c r="D137" s="5" t="s">
        <x:v>1123</x:v>
      </x:c>
      <x:c r="E137" s="10" t="n">
        <x:f>0</x:f>
        <x:v>0</x:v>
      </x:c>
      <x:c r="F137" s="10" t="n">
        <x:f>0</x:f>
        <x:v>0</x:v>
      </x:c>
      <x:c r="G137" s="10" t="n">
        <x:f>0</x:f>
        <x:v>0</x:v>
      </x:c>
      <x:c r="H137" s="10" t="n">
        <x:f>0</x:f>
        <x:v>0</x:v>
      </x:c>
      <x:c r="I137" s="27" t="n">
        <x:f>Landlord!L23/Inputs!$D$16</x:f>
        <x:v>1870502.0884433289</x:v>
      </x:c>
      <x:c r="J137" s="27" t="n">
        <x:f>Landlord!L24/Inputs!$D$16</x:f>
        <x:v>-682150.0000000001</x:v>
      </x:c>
      <x:c r="K137" s="10" t="n">
        <x:f>0</x:f>
        <x:v>0</x:v>
      </x:c>
      <x:c r="L137" s="10" t="n">
        <x:f>0</x:f>
        <x:v>0</x:v>
      </x:c>
      <x:c r="M137" s="10" t="n">
        <x:f>SUM(E137,I137,K137)</x:f>
        <x:v>1870502.0884433289</x:v>
      </x:c>
      <x:c r="N137" s="64" t="n">
        <x:f>SUM(E137:L137)</x:f>
        <x:v>1188352.0884433286</x:v>
      </x:c>
    </x:row>
    <x:row r="138" ht="22.75" customHeight="1">
      <x:c r="A138" s="4"/>
      <x:c r="B138" s="5"/>
      <x:c r="C138" s="65">
        <x:v>131</x:v>
      </x:c>
      <x:c r="D138" s="18" t="s">
        <x:v>1123</x:v>
      </x:c>
      <x:c r="E138" s="25" t="n">
        <x:f>0</x:f>
        <x:v>0</x:v>
      </x:c>
      <x:c r="F138" s="25" t="n">
        <x:f>0</x:f>
        <x:v>0</x:v>
      </x:c>
      <x:c r="G138" s="25" t="n">
        <x:f>0</x:f>
        <x:v>0</x:v>
      </x:c>
      <x:c r="H138" s="25" t="n">
        <x:f>0</x:f>
        <x:v>0</x:v>
      </x:c>
      <x:c r="I138" s="28" t="n">
        <x:f>Landlord!L23/Inputs!$D$16</x:f>
        <x:v>1870502.0884433289</x:v>
      </x:c>
      <x:c r="J138" s="28" t="n">
        <x:f>Landlord!L24/Inputs!$D$16</x:f>
        <x:v>-682150.0000000001</x:v>
      </x:c>
      <x:c r="K138" s="25" t="n">
        <x:f>0</x:f>
        <x:v>0</x:v>
      </x:c>
      <x:c r="L138" s="25" t="n">
        <x:f>0</x:f>
        <x:v>0</x:v>
      </x:c>
      <x:c r="M138" s="25" t="n">
        <x:f>SUM(E138,I138,K138)</x:f>
        <x:v>1870502.0884433289</x:v>
      </x:c>
      <x:c r="N138" s="66" t="n">
        <x:f>SUM(E138:L138)</x:f>
        <x:v>1188352.0884433286</x:v>
      </x:c>
    </x:row>
    <x:row r="139" ht="22.75" customHeight="1">
      <x:c r="A139" s="4"/>
      <x:c r="B139" s="5"/>
      <x:c r="C139" s="63">
        <x:v>132</x:v>
      </x:c>
      <x:c r="D139" s="5" t="s">
        <x:v>1123</x:v>
      </x:c>
      <x:c r="E139" s="10" t="n">
        <x:f>0</x:f>
        <x:v>0</x:v>
      </x:c>
      <x:c r="F139" s="10" t="n">
        <x:f>0</x:f>
        <x:v>0</x:v>
      </x:c>
      <x:c r="G139" s="10" t="n">
        <x:f>0</x:f>
        <x:v>0</x:v>
      </x:c>
      <x:c r="H139" s="10" t="n">
        <x:f>0</x:f>
        <x:v>0</x:v>
      </x:c>
      <x:c r="I139" s="27" t="n">
        <x:f>Landlord!L23/Inputs!$D$16</x:f>
        <x:v>1870502.0884433289</x:v>
      </x:c>
      <x:c r="J139" s="27" t="n">
        <x:f>Landlord!L24/Inputs!$D$16</x:f>
        <x:v>-682150.0000000001</x:v>
      </x:c>
      <x:c r="K139" s="10" t="n">
        <x:f>0</x:f>
        <x:v>0</x:v>
      </x:c>
      <x:c r="L139" s="10" t="n">
        <x:f>0</x:f>
        <x:v>0</x:v>
      </x:c>
      <x:c r="M139" s="10" t="n">
        <x:f>SUM(E139,I139,K139)</x:f>
        <x:v>1870502.0884433289</x:v>
      </x:c>
      <x:c r="N139" s="64" t="n">
        <x:f>SUM(E139:L139)</x:f>
        <x:v>1188352.0884433286</x:v>
      </x:c>
    </x:row>
    <x:row r="140" ht="22.75" customHeight="1">
      <x:c r="A140" s="4"/>
      <x:c r="B140" s="5"/>
      <x:c r="C140" s="65">
        <x:v>133</x:v>
      </x:c>
      <x:c r="D140" s="18" t="s">
        <x:v>1123</x:v>
      </x:c>
      <x:c r="E140" s="25" t="n">
        <x:f>0</x:f>
        <x:v>0</x:v>
      </x:c>
      <x:c r="F140" s="25" t="n">
        <x:f>0</x:f>
        <x:v>0</x:v>
      </x:c>
      <x:c r="G140" s="25" t="n">
        <x:f>0</x:f>
        <x:v>0</x:v>
      </x:c>
      <x:c r="H140" s="25" t="n">
        <x:f>0</x:f>
        <x:v>0</x:v>
      </x:c>
      <x:c r="I140" s="28" t="n">
        <x:f>Landlord!M23/Inputs!$D$16</x:f>
        <x:v>1912910.1184996415</x:v>
      </x:c>
      <x:c r="J140" s="28" t="n">
        <x:f>Landlord!M24/Inputs!$D$16</x:f>
        <x:v>-682150.0000000001</x:v>
      </x:c>
      <x:c r="K140" s="25" t="n">
        <x:f>0</x:f>
        <x:v>0</x:v>
      </x:c>
      <x:c r="L140" s="25" t="n">
        <x:f>0</x:f>
        <x:v>0</x:v>
      </x:c>
      <x:c r="M140" s="25" t="n">
        <x:f>SUM(E140,I140,K140)</x:f>
        <x:v>1912910.1184996415</x:v>
      </x:c>
      <x:c r="N140" s="66" t="n">
        <x:f>SUM(E140:L140)</x:f>
        <x:v>1230760.1184996413</x:v>
      </x:c>
    </x:row>
    <x:row r="141" ht="22.75" customHeight="1">
      <x:c r="A141" s="4"/>
      <x:c r="B141" s="5"/>
      <x:c r="C141" s="63">
        <x:v>134</x:v>
      </x:c>
      <x:c r="D141" s="5" t="s">
        <x:v>1123</x:v>
      </x:c>
      <x:c r="E141" s="10" t="n">
        <x:f>0</x:f>
        <x:v>0</x:v>
      </x:c>
      <x:c r="F141" s="10" t="n">
        <x:f>0</x:f>
        <x:v>0</x:v>
      </x:c>
      <x:c r="G141" s="10" t="n">
        <x:f>0</x:f>
        <x:v>0</x:v>
      </x:c>
      <x:c r="H141" s="10" t="n">
        <x:f>0</x:f>
        <x:v>0</x:v>
      </x:c>
      <x:c r="I141" s="27" t="n">
        <x:f>Landlord!M23/Inputs!$D$16</x:f>
        <x:v>1912910.1184996415</x:v>
      </x:c>
      <x:c r="J141" s="27" t="n">
        <x:f>Landlord!M24/Inputs!$D$16</x:f>
        <x:v>-682150.0000000001</x:v>
      </x:c>
      <x:c r="K141" s="10" t="n">
        <x:f>0</x:f>
        <x:v>0</x:v>
      </x:c>
      <x:c r="L141" s="10" t="n">
        <x:f>0</x:f>
        <x:v>0</x:v>
      </x:c>
      <x:c r="M141" s="10" t="n">
        <x:f>SUM(E141,I141,K141)</x:f>
        <x:v>1912910.1184996415</x:v>
      </x:c>
      <x:c r="N141" s="64" t="n">
        <x:f>SUM(E141:L141)</x:f>
        <x:v>1230760.1184996413</x:v>
      </x:c>
    </x:row>
    <x:row r="142" ht="22.75" customHeight="1">
      <x:c r="A142" s="4"/>
      <x:c r="B142" s="5"/>
      <x:c r="C142" s="65">
        <x:v>135</x:v>
      </x:c>
      <x:c r="D142" s="18" t="s">
        <x:v>1123</x:v>
      </x:c>
      <x:c r="E142" s="25" t="n">
        <x:f>0</x:f>
        <x:v>0</x:v>
      </x:c>
      <x:c r="F142" s="25" t="n">
        <x:f>0</x:f>
        <x:v>0</x:v>
      </x:c>
      <x:c r="G142" s="25" t="n">
        <x:f>0</x:f>
        <x:v>0</x:v>
      </x:c>
      <x:c r="H142" s="25" t="n">
        <x:f>0</x:f>
        <x:v>0</x:v>
      </x:c>
      <x:c r="I142" s="28" t="n">
        <x:f>Landlord!M23/Inputs!$D$16</x:f>
        <x:v>1912910.1184996415</x:v>
      </x:c>
      <x:c r="J142" s="28" t="n">
        <x:f>Landlord!M24/Inputs!$D$16</x:f>
        <x:v>-682150.0000000001</x:v>
      </x:c>
      <x:c r="K142" s="25" t="n">
        <x:f>0</x:f>
        <x:v>0</x:v>
      </x:c>
      <x:c r="L142" s="25" t="n">
        <x:f>0</x:f>
        <x:v>0</x:v>
      </x:c>
      <x:c r="M142" s="25" t="n">
        <x:f>SUM(E142,I142,K142)</x:f>
        <x:v>1912910.1184996415</x:v>
      </x:c>
      <x:c r="N142" s="66" t="n">
        <x:f>SUM(E142:L142)</x:f>
        <x:v>1230760.1184996413</x:v>
      </x:c>
    </x:row>
    <x:row r="143" ht="22.75" customHeight="1">
      <x:c r="A143" s="4"/>
      <x:c r="B143" s="5"/>
      <x:c r="C143" s="63">
        <x:v>136</x:v>
      </x:c>
      <x:c r="D143" s="5" t="s">
        <x:v>1123</x:v>
      </x:c>
      <x:c r="E143" s="10" t="n">
        <x:f>0</x:f>
        <x:v>0</x:v>
      </x:c>
      <x:c r="F143" s="10" t="n">
        <x:f>0</x:f>
        <x:v>0</x:v>
      </x:c>
      <x:c r="G143" s="10" t="n">
        <x:f>0</x:f>
        <x:v>0</x:v>
      </x:c>
      <x:c r="H143" s="10" t="n">
        <x:f>0</x:f>
        <x:v>0</x:v>
      </x:c>
      <x:c r="I143" s="27" t="n">
        <x:f>Landlord!M23/Inputs!$D$16</x:f>
        <x:v>1912910.1184996415</x:v>
      </x:c>
      <x:c r="J143" s="27" t="n">
        <x:f>Landlord!M24/Inputs!$D$16</x:f>
        <x:v>-682150.0000000001</x:v>
      </x:c>
      <x:c r="K143" s="10" t="n">
        <x:f>0</x:f>
        <x:v>0</x:v>
      </x:c>
      <x:c r="L143" s="10" t="n">
        <x:f>0</x:f>
        <x:v>0</x:v>
      </x:c>
      <x:c r="M143" s="10" t="n">
        <x:f>SUM(E143,I143,K143)</x:f>
        <x:v>1912910.1184996415</x:v>
      </x:c>
      <x:c r="N143" s="64" t="n">
        <x:f>SUM(E143:L143)</x:f>
        <x:v>1230760.1184996413</x:v>
      </x:c>
    </x:row>
    <x:row r="144" ht="22.75" customHeight="1">
      <x:c r="A144" s="4"/>
      <x:c r="B144" s="5"/>
      <x:c r="C144" s="65">
        <x:v>137</x:v>
      </x:c>
      <x:c r="D144" s="18" t="s">
        <x:v>1123</x:v>
      </x:c>
      <x:c r="E144" s="25" t="n">
        <x:f>0</x:f>
        <x:v>0</x:v>
      </x:c>
      <x:c r="F144" s="25" t="n">
        <x:f>0</x:f>
        <x:v>0</x:v>
      </x:c>
      <x:c r="G144" s="25" t="n">
        <x:f>0</x:f>
        <x:v>0</x:v>
      </x:c>
      <x:c r="H144" s="25" t="n">
        <x:f>0</x:f>
        <x:v>0</x:v>
      </x:c>
      <x:c r="I144" s="28" t="n">
        <x:f>Landlord!M23/Inputs!$D$16</x:f>
        <x:v>1912910.1184996415</x:v>
      </x:c>
      <x:c r="J144" s="28" t="n">
        <x:f>Landlord!M24/Inputs!$D$16</x:f>
        <x:v>-682150.0000000001</x:v>
      </x:c>
      <x:c r="K144" s="25" t="n">
        <x:f>0</x:f>
        <x:v>0</x:v>
      </x:c>
      <x:c r="L144" s="25" t="n">
        <x:f>0</x:f>
        <x:v>0</x:v>
      </x:c>
      <x:c r="M144" s="25" t="n">
        <x:f>SUM(E144,I144,K144)</x:f>
        <x:v>1912910.1184996415</x:v>
      </x:c>
      <x:c r="N144" s="66" t="n">
        <x:f>SUM(E144:L144)</x:f>
        <x:v>1230760.1184996413</x:v>
      </x:c>
    </x:row>
    <x:row r="145" ht="22.75" customHeight="1">
      <x:c r="A145" s="4"/>
      <x:c r="B145" s="5"/>
      <x:c r="C145" s="63">
        <x:v>138</x:v>
      </x:c>
      <x:c r="D145" s="5" t="s">
        <x:v>1123</x:v>
      </x:c>
      <x:c r="E145" s="10" t="n">
        <x:f>0</x:f>
        <x:v>0</x:v>
      </x:c>
      <x:c r="F145" s="10" t="n">
        <x:f>0</x:f>
        <x:v>0</x:v>
      </x:c>
      <x:c r="G145" s="10" t="n">
        <x:f>0</x:f>
        <x:v>0</x:v>
      </x:c>
      <x:c r="H145" s="10" t="n">
        <x:f>0</x:f>
        <x:v>0</x:v>
      </x:c>
      <x:c r="I145" s="27" t="n">
        <x:f>Landlord!M23/Inputs!$D$16</x:f>
        <x:v>1912910.1184996415</x:v>
      </x:c>
      <x:c r="J145" s="27" t="n">
        <x:f>Landlord!M24/Inputs!$D$16</x:f>
        <x:v>-682150.0000000001</x:v>
      </x:c>
      <x:c r="K145" s="10" t="n">
        <x:f>0</x:f>
        <x:v>0</x:v>
      </x:c>
      <x:c r="L145" s="10" t="n">
        <x:f>0</x:f>
        <x:v>0</x:v>
      </x:c>
      <x:c r="M145" s="10" t="n">
        <x:f>SUM(E145,I145,K145)</x:f>
        <x:v>1912910.1184996415</x:v>
      </x:c>
      <x:c r="N145" s="64" t="n">
        <x:f>SUM(E145:L145)</x:f>
        <x:v>1230760.1184996413</x:v>
      </x:c>
    </x:row>
    <x:row r="146" ht="22.75" customHeight="1">
      <x:c r="A146" s="4"/>
      <x:c r="B146" s="5"/>
      <x:c r="C146" s="65">
        <x:v>139</x:v>
      </x:c>
      <x:c r="D146" s="18" t="s">
        <x:v>1123</x:v>
      </x:c>
      <x:c r="E146" s="25" t="n">
        <x:f>0</x:f>
        <x:v>0</x:v>
      </x:c>
      <x:c r="F146" s="25" t="n">
        <x:f>0</x:f>
        <x:v>0</x:v>
      </x:c>
      <x:c r="G146" s="25" t="n">
        <x:f>0</x:f>
        <x:v>0</x:v>
      </x:c>
      <x:c r="H146" s="25" t="n">
        <x:f>0</x:f>
        <x:v>0</x:v>
      </x:c>
      <x:c r="I146" s="28" t="n">
        <x:f>Landlord!M23/Inputs!$D$16</x:f>
        <x:v>1912910.1184996415</x:v>
      </x:c>
      <x:c r="J146" s="28" t="n">
        <x:f>Landlord!M24/Inputs!$D$16</x:f>
        <x:v>-682150.0000000001</x:v>
      </x:c>
      <x:c r="K146" s="25" t="n">
        <x:f>0</x:f>
        <x:v>0</x:v>
      </x:c>
      <x:c r="L146" s="25" t="n">
        <x:f>0</x:f>
        <x:v>0</x:v>
      </x:c>
      <x:c r="M146" s="25" t="n">
        <x:f>SUM(E146,I146,K146)</x:f>
        <x:v>1912910.1184996415</x:v>
      </x:c>
      <x:c r="N146" s="66" t="n">
        <x:f>SUM(E146:L146)</x:f>
        <x:v>1230760.1184996413</x:v>
      </x:c>
    </x:row>
    <x:row r="147" ht="22.75" customHeight="1">
      <x:c r="A147" s="4"/>
      <x:c r="B147" s="5"/>
      <x:c r="C147" s="63">
        <x:v>140</x:v>
      </x:c>
      <x:c r="D147" s="5" t="s">
        <x:v>1123</x:v>
      </x:c>
      <x:c r="E147" s="10" t="n">
        <x:f>0</x:f>
        <x:v>0</x:v>
      </x:c>
      <x:c r="F147" s="10" t="n">
        <x:f>0</x:f>
        <x:v>0</x:v>
      </x:c>
      <x:c r="G147" s="10" t="n">
        <x:f>0</x:f>
        <x:v>0</x:v>
      </x:c>
      <x:c r="H147" s="10" t="n">
        <x:f>0</x:f>
        <x:v>0</x:v>
      </x:c>
      <x:c r="I147" s="27" t="n">
        <x:f>Landlord!M23/Inputs!$D$16</x:f>
        <x:v>1912910.1184996415</x:v>
      </x:c>
      <x:c r="J147" s="27" t="n">
        <x:f>Landlord!M24/Inputs!$D$16</x:f>
        <x:v>-682150.0000000001</x:v>
      </x:c>
      <x:c r="K147" s="10" t="n">
        <x:f>0</x:f>
        <x:v>0</x:v>
      </x:c>
      <x:c r="L147" s="10" t="n">
        <x:f>0</x:f>
        <x:v>0</x:v>
      </x:c>
      <x:c r="M147" s="10" t="n">
        <x:f>SUM(E147,I147,K147)</x:f>
        <x:v>1912910.1184996415</x:v>
      </x:c>
      <x:c r="N147" s="64" t="n">
        <x:f>SUM(E147:L147)</x:f>
        <x:v>1230760.1184996413</x:v>
      </x:c>
    </x:row>
    <x:row r="148" ht="22.75" customHeight="1">
      <x:c r="A148" s="4"/>
      <x:c r="B148" s="5"/>
      <x:c r="C148" s="65">
        <x:v>141</x:v>
      </x:c>
      <x:c r="D148" s="18" t="s">
        <x:v>1123</x:v>
      </x:c>
      <x:c r="E148" s="25" t="n">
        <x:f>0</x:f>
        <x:v>0</x:v>
      </x:c>
      <x:c r="F148" s="25" t="n">
        <x:f>0</x:f>
        <x:v>0</x:v>
      </x:c>
      <x:c r="G148" s="25" t="n">
        <x:f>0</x:f>
        <x:v>0</x:v>
      </x:c>
      <x:c r="H148" s="25" t="n">
        <x:f>0</x:f>
        <x:v>0</x:v>
      </x:c>
      <x:c r="I148" s="28" t="n">
        <x:f>Landlord!M23/Inputs!$D$16</x:f>
        <x:v>1912910.1184996415</x:v>
      </x:c>
      <x:c r="J148" s="28" t="n">
        <x:f>Landlord!M24/Inputs!$D$16</x:f>
        <x:v>-682150.0000000001</x:v>
      </x:c>
      <x:c r="K148" s="25" t="n">
        <x:f>0</x:f>
        <x:v>0</x:v>
      </x:c>
      <x:c r="L148" s="25" t="n">
        <x:f>0</x:f>
        <x:v>0</x:v>
      </x:c>
      <x:c r="M148" s="25" t="n">
        <x:f>SUM(E148,I148,K148)</x:f>
        <x:v>1912910.1184996415</x:v>
      </x:c>
      <x:c r="N148" s="66" t="n">
        <x:f>SUM(E148:L148)</x:f>
        <x:v>1230760.1184996413</x:v>
      </x:c>
    </x:row>
    <x:row r="149" ht="22.75" customHeight="1">
      <x:c r="A149" s="4"/>
      <x:c r="B149" s="5"/>
      <x:c r="C149" s="63">
        <x:v>142</x:v>
      </x:c>
      <x:c r="D149" s="5" t="s">
        <x:v>1123</x:v>
      </x:c>
      <x:c r="E149" s="10" t="n">
        <x:f>0</x:f>
        <x:v>0</x:v>
      </x:c>
      <x:c r="F149" s="10" t="n">
        <x:f>0</x:f>
        <x:v>0</x:v>
      </x:c>
      <x:c r="G149" s="10" t="n">
        <x:f>0</x:f>
        <x:v>0</x:v>
      </x:c>
      <x:c r="H149" s="10" t="n">
        <x:f>0</x:f>
        <x:v>0</x:v>
      </x:c>
      <x:c r="I149" s="27" t="n">
        <x:f>Landlord!M23/Inputs!$D$16</x:f>
        <x:v>1912910.1184996415</x:v>
      </x:c>
      <x:c r="J149" s="27" t="n">
        <x:f>Landlord!M24/Inputs!$D$16</x:f>
        <x:v>-682150.0000000001</x:v>
      </x:c>
      <x:c r="K149" s="10" t="n">
        <x:f>0</x:f>
        <x:v>0</x:v>
      </x:c>
      <x:c r="L149" s="10" t="n">
        <x:f>0</x:f>
        <x:v>0</x:v>
      </x:c>
      <x:c r="M149" s="10" t="n">
        <x:f>SUM(E149,I149,K149)</x:f>
        <x:v>1912910.1184996415</x:v>
      </x:c>
      <x:c r="N149" s="64" t="n">
        <x:f>SUM(E149:L149)</x:f>
        <x:v>1230760.1184996413</x:v>
      </x:c>
    </x:row>
    <x:row r="150" ht="22.75" customHeight="1">
      <x:c r="A150" s="4"/>
      <x:c r="B150" s="5"/>
      <x:c r="C150" s="65">
        <x:v>143</x:v>
      </x:c>
      <x:c r="D150" s="18" t="s">
        <x:v>1123</x:v>
      </x:c>
      <x:c r="E150" s="25" t="n">
        <x:f>0</x:f>
        <x:v>0</x:v>
      </x:c>
      <x:c r="F150" s="25" t="n">
        <x:f>0</x:f>
        <x:v>0</x:v>
      </x:c>
      <x:c r="G150" s="25" t="n">
        <x:f>0</x:f>
        <x:v>0</x:v>
      </x:c>
      <x:c r="H150" s="25" t="n">
        <x:f>0</x:f>
        <x:v>0</x:v>
      </x:c>
      <x:c r="I150" s="28" t="n">
        <x:f>Landlord!M23/Inputs!$D$16</x:f>
        <x:v>1912910.1184996415</x:v>
      </x:c>
      <x:c r="J150" s="28" t="n">
        <x:f>Landlord!M24/Inputs!$D$16</x:f>
        <x:v>-682150.0000000001</x:v>
      </x:c>
      <x:c r="K150" s="25" t="n">
        <x:f>0</x:f>
        <x:v>0</x:v>
      </x:c>
      <x:c r="L150" s="25" t="n">
        <x:f>0</x:f>
        <x:v>0</x:v>
      </x:c>
      <x:c r="M150" s="25" t="n">
        <x:f>SUM(E150,I150,K150)</x:f>
        <x:v>1912910.1184996415</x:v>
      </x:c>
      <x:c r="N150" s="66" t="n">
        <x:f>SUM(E150:L150)</x:f>
        <x:v>1230760.1184996413</x:v>
      </x:c>
    </x:row>
    <x:row r="151" ht="22.75" customHeight="1">
      <x:c r="A151" s="4"/>
      <x:c r="B151" s="5"/>
      <x:c r="C151" s="63">
        <x:v>144</x:v>
      </x:c>
      <x:c r="D151" s="5" t="s">
        <x:v>1123</x:v>
      </x:c>
      <x:c r="E151" s="10" t="n">
        <x:f>0</x:f>
        <x:v>0</x:v>
      </x:c>
      <x:c r="F151" s="10" t="n">
        <x:f>0</x:f>
        <x:v>0</x:v>
      </x:c>
      <x:c r="G151" s="10" t="n">
        <x:f>0</x:f>
        <x:v>0</x:v>
      </x:c>
      <x:c r="H151" s="10" t="n">
        <x:f>0</x:f>
        <x:v>0</x:v>
      </x:c>
      <x:c r="I151" s="27" t="n">
        <x:f>Landlord!M23/Inputs!$D$16</x:f>
        <x:v>1912910.1184996415</x:v>
      </x:c>
      <x:c r="J151" s="27" t="n">
        <x:f>Landlord!M24/Inputs!$D$16</x:f>
        <x:v>-682150.0000000001</x:v>
      </x:c>
      <x:c r="K151" s="27" t="n">
        <x:f>SUM(Landlord!M35:M36)</x:f>
        <x:v>347464445.20279455</x:v>
      </x:c>
      <x:c r="L151" s="27" t="n">
        <x:f>-Development!D27</x:f>
        <x:v>-116940000</x:v>
      </x:c>
      <x:c r="M151" s="10" t="n">
        <x:f>SUM(E151,I151,K151)</x:f>
        <x:v>349377355.3212942</x:v>
      </x:c>
      <x:c r="N151" s="64" t="n">
        <x:f>SUM(E151:L151)</x:f>
        <x:v>231755205.3212942</x:v>
      </x:c>
    </x:row>
    <x:row r="152" ht="9" customHeight="1">
      <x:c r="A152" s="4"/>
      <x:c r="B152" s="5"/>
      <x:c r="C152" s="9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6"/>
    </x:row>
    <x:row r="153" ht="9" customHeight="1">
      <x:c r="A153" s="4"/>
      <x:c r="B153" s="5"/>
      <x:c r="C153" s="9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6"/>
    </x:row>
    <x:row r="154" ht="35.599998474121094" customHeight="1">
      <x:c r="A154" s="4"/>
      <x:c r="B154" s="5"/>
      <x:c r="C154" s="17" t="s">
        <x:v>1124</x:v>
      </x:c>
      <x:c r="D154" s="472" t="n">
        <x:f>(1+IRR(M7:M151))^Inputs!D16-1</x:f>
        <x:v>0.12524132825920375</x:v>
      </x:c>
      <x:c r="E154" s="18" t="s">
        <x:v>178</x:v>
      </x:c>
      <x:c r="F154" s="18"/>
      <x:c r="G154" s="18"/>
      <x:c r="H154" s="18"/>
      <x:c r="I154" s="18"/>
      <x:c r="J154" s="18"/>
      <x:c r="K154" s="18"/>
      <x:c r="L154" s="18"/>
      <x:c r="M154" s="18"/>
      <x:c r="N154" s="19"/>
    </x:row>
    <x:row r="155" ht="35.599998474121094" customHeight="1">
      <x:c r="A155" s="4"/>
      <x:c r="B155" s="5"/>
      <x:c r="C155" s="9" t="s">
        <x:v>1125</x:v>
      </x:c>
      <x:c r="D155" s="468" t="n">
        <x:f>(1+IRR(N7:N151))^Inputs!D16-1</x:f>
        <x:v>0.16809156810684023</x:v>
      </x:c>
      <x:c r="E155" s="5" t="s">
        <x:v>179</x:v>
      </x:c>
      <x:c r="F155" s="5"/>
      <x:c r="G155" s="5"/>
      <x:c r="H155" s="5"/>
      <x:c r="I155" s="5"/>
      <x:c r="J155" s="5"/>
      <x:c r="K155" s="5"/>
      <x:c r="L155" s="5"/>
      <x:c r="M155" s="5"/>
      <x:c r="N155" s="6"/>
    </x:row>
    <x:row r="156" ht="35.599998474121094" customHeight="1">
      <x:c r="A156" s="4"/>
      <x:c r="B156" s="5"/>
      <x:c r="C156" s="17" t="s">
        <x:v>1126</x:v>
      </x:c>
      <x:c r="D156" s="975" t="n">
        <x:f>SUMIF(N7:N151,"&gt;0",N7:N151)/-SUMIF(N7:N151,"&lt;0",N7:N151)</x:f>
        <x:v>3.9275938676797235</x:v>
      </x:c>
      <x:c r="E156" s="18" t="s">
        <x:v>180</x:v>
      </x:c>
      <x:c r="F156" s="18"/>
      <x:c r="G156" s="18"/>
      <x:c r="H156" s="18"/>
      <x:c r="I156" s="18"/>
      <x:c r="J156" s="18"/>
      <x:c r="K156" s="18"/>
      <x:c r="L156" s="18"/>
      <x:c r="M156" s="18"/>
      <x:c r="N156" s="19"/>
    </x:row>
    <x:row r="157" ht="35.599998474121094" customHeight="1">
      <x:c r="A157" s="4"/>
      <x:c r="B157" s="5"/>
      <x:c r="C157" s="9" t="s">
        <x:v>1127</x:v>
      </x:c>
      <x:c r="D157" s="10" t="n">
        <x:f>-SUM(N7:N31)</x:f>
        <x:v>90788600</x:v>
      </x:c>
      <x:c r="E157" s="5" t="s">
        <x:v>1128</x:v>
      </x:c>
      <x:c r="F157" s="5"/>
      <x:c r="G157" s="5"/>
      <x:c r="H157" s="5"/>
      <x:c r="I157" s="5"/>
      <x:c r="J157" s="5"/>
      <x:c r="K157" s="5"/>
      <x:c r="L157" s="5"/>
      <x:c r="M157" s="5"/>
      <x:c r="N157" s="6"/>
    </x:row>
    <x:row r="158" ht="35.599998474121094" customHeight="1">
      <x:c r="A158" s="4"/>
      <x:c r="B158" s="5"/>
      <x:c r="C158" s="17" t="s">
        <x:v>1129</x:v>
      </x:c>
      <x:c r="D158" s="105" t="n">
        <x:f>D157-Development!D32</x:f>
        <x:v>0</x:v>
      </x:c>
      <x:c r="E158" s="18" t="s">
        <x:v>1130</x:v>
      </x:c>
      <x:c r="F158" s="18"/>
      <x:c r="G158" s="18"/>
      <x:c r="H158" s="18"/>
      <x:c r="I158" s="18"/>
      <x:c r="J158" s="18"/>
      <x:c r="K158" s="18"/>
      <x:c r="L158" s="18"/>
      <x:c r="M158" s="18"/>
      <x:c r="N158" s="19"/>
    </x:row>
    <x:row r="159" ht="9" customHeight="1">
      <x:c r="A159" s="4"/>
      <x:c r="B159" s="5"/>
      <x:c r="C159" s="9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6"/>
    </x:row>
    <x:row r="160" ht="34.29999923706055" customHeight="1">
      <x:c r="A160" s="4"/>
      <x:c r="B160" s="5"/>
      <x:c r="C160" s="216" t="s">
        <x:v>1131</x:v>
      </x:c>
      <x:c r="D160" s="217"/>
      <x:c r="E160" s="217"/>
      <x:c r="F160" s="217"/>
      <x:c r="G160" s="217"/>
      <x:c r="H160" s="217"/>
      <x:c r="I160" s="217"/>
      <x:c r="J160" s="217"/>
      <x:c r="K160" s="217"/>
      <x:c r="L160" s="217"/>
      <x:c r="M160" s="217"/>
      <x:c r="N160" s="218"/>
    </x:row>
    <x:row r="161" ht="9" customHeight="1">
      <x:c r="A161" s="4"/>
      <x:c r="B161" s="5"/>
      <x:c r="C161" s="9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6"/>
    </x:row>
    <x:row r="162" ht="9" customHeight="1">
      <x:c r="A162" s="4"/>
      <x:c r="B162" s="5"/>
      <x:c r="C162" s="9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6"/>
    </x:row>
    <x:row r="163" ht="26.049999237060547" customHeight="1">
      <x:c r="A163" s="4"/>
      <x:c r="B163" s="5"/>
      <x:c r="C163" s="228" t="s">
        <x:v>1132</x:v>
      </x:c>
      <x:c r="D163" s="229"/>
      <x:c r="E163" s="229"/>
      <x:c r="F163" s="229"/>
      <x:c r="G163" s="229"/>
      <x:c r="H163" s="229"/>
      <x:c r="I163" s="229"/>
      <x:c r="J163" s="229"/>
      <x:c r="K163" s="229"/>
      <x:c r="L163" s="229"/>
      <x:c r="M163" s="229"/>
      <x:c r="N163" s="230"/>
    </x:row>
    <x:row r="164" ht="22.200000762939453" customHeight="1">
      <x:c r="A164" s="4"/>
      <x:c r="B164" s="5"/>
      <x:c r="C164" s="216" t="s">
        <x:v>1133</x:v>
      </x:c>
      <x:c r="D164" s="217"/>
      <x:c r="E164" s="217"/>
      <x:c r="F164" s="217"/>
      <x:c r="G164" s="217"/>
      <x:c r="H164" s="217"/>
      <x:c r="I164" s="217"/>
      <x:c r="J164" s="217"/>
      <x:c r="K164" s="217"/>
      <x:c r="L164" s="217"/>
      <x:c r="M164" s="217"/>
      <x:c r="N164" s="218"/>
    </x:row>
    <x:row r="165" ht="22.200000762939453" customHeight="1">
      <x:c r="A165" s="4"/>
      <x:c r="B165" s="5"/>
      <x:c r="C165" s="216" t="s">
        <x:v>1134</x:v>
      </x:c>
      <x:c r="D165" s="217"/>
      <x:c r="E165" s="217"/>
      <x:c r="F165" s="217"/>
      <x:c r="G165" s="217"/>
      <x:c r="H165" s="217"/>
      <x:c r="I165" s="217"/>
      <x:c r="J165" s="217"/>
      <x:c r="K165" s="217"/>
      <x:c r="L165" s="217"/>
      <x:c r="M165" s="217"/>
      <x:c r="N165" s="218"/>
    </x:row>
    <x:row r="166" ht="22.200000762939453" customHeight="1">
      <x:c r="A166" s="7"/>
      <x:c r="B166" s="8"/>
      <x:c r="C166" s="219" t="s">
        <x:v>1135</x:v>
      </x:c>
      <x:c r="D166" s="220"/>
      <x:c r="E166" s="220"/>
      <x:c r="F166" s="220"/>
      <x:c r="G166" s="220"/>
      <x:c r="H166" s="220"/>
      <x:c r="I166" s="220"/>
      <x:c r="J166" s="220"/>
      <x:c r="K166" s="220"/>
      <x:c r="L166" s="220"/>
      <x:c r="M166" s="220"/>
      <x:c r="N166" s="221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10  |  MONTHLY CASH FLOW &amp; RETURNS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Selected monthly equity funding, operating distributions and terminal proceeds; full schedules remain in the working table.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Transaction timing matters: a delayed acceptance date can change returns even without a cost overrun.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30.219999313354492" hidden="0" customHeight="1">
      <x:c r="P211" s="597" t="str">
        <x:v>Month 0 | Build</x:v>
      </x:c>
      <x:c r="Q211" s="1037" t="n">
        <x:f>N7</x:f>
        <x:v>-20369400</x:v>
      </x:c>
      <x:c r="R211" s="599" t="str">
        <x:v>Monthly CF tab</x:v>
      </x:c>
      <x:c r="S211" s="599" t="str">
        <x:v>Equity cash funded after loan proceeds, including build interest and fees.</x:v>
      </x:c>
    </x:row>
    <x:row r="212" ht="30.219999313354492" hidden="0" customHeight="1">
      <x:c r="P212" s="509" t="str">
        <x:v>Month 1 | Build</x:v>
      </x:c>
      <x:c r="Q212" s="1036" t="n">
        <x:f>N8</x:f>
        <x:v>-2652575</x:v>
      </x:c>
      <x:c r="R212" s="510" t="str">
        <x:v>Monthly CF tab</x:v>
      </x:c>
      <x:c r="S212" s="510" t="str">
        <x:v>Equity cash funded after loan proceeds, including build interest and fees.</x:v>
      </x:c>
    </x:row>
    <x:row r="213" ht="30.219999313354492" hidden="0" customHeight="1">
      <x:c r="P213" s="597" t="str">
        <x:v>Month 5 | Build</x:v>
      </x:c>
      <x:c r="Q213" s="1037" t="n">
        <x:f>N12</x:f>
        <x:v>-2750508.3333333335</x:v>
      </x:c>
      <x:c r="R213" s="599" t="str">
        <x:v>Monthly CF tab</x:v>
      </x:c>
      <x:c r="S213" s="599" t="str">
        <x:v>Equity cash funded after loan proceeds, including build interest and fees.</x:v>
      </x:c>
    </x:row>
    <x:row r="214" ht="30.219999313354492" hidden="0" customHeight="1">
      <x:c r="P214" s="509" t="str">
        <x:v>Month 11 | Build</x:v>
      </x:c>
      <x:c r="Q214" s="1036" t="n">
        <x:f>N18</x:f>
        <x:v>-2897408.3333333335</x:v>
      </x:c>
      <x:c r="R214" s="510" t="str">
        <x:v>Monthly CF tab</x:v>
      </x:c>
      <x:c r="S214" s="510" t="str">
        <x:v>Equity cash funded after loan proceeds, including build interest and fees.</x:v>
      </x:c>
    </x:row>
    <x:row r="215" ht="30.219999313354492" hidden="0" customHeight="1">
      <x:c r="P215" s="597" t="str">
        <x:v>Month 17 | Build</x:v>
      </x:c>
      <x:c r="Q215" s="1037" t="n">
        <x:f>N24</x:f>
        <x:v>-3044308.3333333335</x:v>
      </x:c>
      <x:c r="R215" s="599" t="str">
        <x:v>Monthly CF tab</x:v>
      </x:c>
      <x:c r="S215" s="599" t="str">
        <x:v>Equity cash funded after loan proceeds, including build interest and fees.</x:v>
      </x:c>
    </x:row>
    <x:row r="216" ht="30.219999313354492" hidden="0" customHeight="1">
      <x:c r="P216" s="509" t="str">
        <x:v>Month 23 | Build</x:v>
      </x:c>
      <x:c r="Q216" s="1036" t="n">
        <x:f>N30</x:f>
        <x:v>-3191208.3333333335</x:v>
      </x:c>
      <x:c r="R216" s="510" t="str">
        <x:v>Monthly CF tab</x:v>
      </x:c>
      <x:c r="S216" s="510" t="str">
        <x:v>Equity cash funded after loan proceeds, including build interest and fees.</x:v>
      </x:c>
    </x:row>
    <x:row r="217" ht="30.219999313354492" hidden="0" customHeight="1">
      <x:c r="P217" s="597" t="str">
        <x:v>Month 59 | Operations</x:v>
      </x:c>
      <x:c r="Q217" s="1037" t="n">
        <x:f>N66</x:f>
        <x:v>952387.499999999</x:v>
      </x:c>
      <x:c r="R217" s="599" t="str">
        <x:v>Monthly CF tab</x:v>
      </x:c>
      <x:c r="S217" s="599" t="str">
        <x:v>Monthly equity distribution after reserve and operating interest.</x:v>
      </x:c>
    </x:row>
    <x:row r="218" ht="30.219999313354492" hidden="0" customHeight="1">
      <x:c r="P218" s="509" t="str">
        <x:v>Month 71 | Operations</x:v>
      </x:c>
      <x:c r="Q218" s="1036" t="n">
        <x:f>N78</x:f>
        <x:v>989604.0937499997</x:v>
      </x:c>
      <x:c r="R218" s="510" t="str">
        <x:v>Monthly CF tab</x:v>
      </x:c>
      <x:c r="S218" s="510" t="str">
        <x:v>Monthly equity distribution after reserve and operating interest.</x:v>
      </x:c>
    </x:row>
    <x:row r="219" ht="30.219999313354492" hidden="0" customHeight="1">
      <x:c r="P219" s="597" t="str">
        <x:v>Month 95 | Operations</x:v>
      </x:c>
      <x:c r="Q219" s="1037" t="n">
        <x:f>N102</x:f>
        <x:v>1066517.5529226554</x:v>
      </x:c>
      <x:c r="R219" s="599" t="str">
        <x:v>Monthly CF tab</x:v>
      </x:c>
      <x:c r="S219" s="599" t="str">
        <x:v>Monthly equity distribution after reserve and operating interest.</x:v>
      </x:c>
    </x:row>
    <x:row r="220" ht="30.219999313354492" hidden="0" customHeight="1">
      <x:c r="P220" s="509" t="str">
        <x:v>Month 119 | Operations</x:v>
      </x:c>
      <x:c r="Q220" s="1036" t="n">
        <x:f>N126</x:f>
        <x:v>1146854.6632738793</x:v>
      </x:c>
      <x:c r="R220" s="510" t="str">
        <x:v>Monthly CF tab</x:v>
      </x:c>
      <x:c r="S220" s="510" t="str">
        <x:v>Monthly equity distribution after reserve and operating interest.</x:v>
      </x:c>
    </x:row>
    <x:row r="221" ht="17.110000610351562" hidden="0" customHeight="1">
      <x:c r="P221" s="597" t="str">
        <x:v>Month 144 | Exit + operations</x:v>
      </x:c>
      <x:c r="Q221" s="1037" t="n">
        <x:f>N151</x:f>
        <x:v>231755205.3212942</x:v>
      </x:c>
      <x:c r="R221" s="599" t="str">
        <x:v>Monthly CF tab</x:v>
      </x:c>
      <x:c r="S221" s="599" t="str">
        <x:v>Net sale proceeds plus final monthly operating distribution.</x:v>
      </x:c>
    </x:row>
    <x:row r="222" ht="17.110000610351562" hidden="0" customHeight="1">
      <x:c r="P222" s="509" t="str">
        <x:v>Annualized unlevered IRR</x:v>
      </x:c>
      <x:c r="Q222" s="611" t="n">
        <x:f>D154</x:f>
        <x:v>0.12524132825920375</x:v>
      </x:c>
      <x:c r="R222" s="510" t="str">
        <x:v>Monthly CF tab</x:v>
      </x:c>
      <x:c r="S222" s="510" t="str">
        <x:v>Calculated project return; excludes financing cash flows.</x:v>
      </x:c>
    </x:row>
    <x:row r="223" ht="30.219999313354492" hidden="0" customHeight="1">
      <x:c r="P223" s="597" t="str">
        <x:v>Annualized levered IRR</x:v>
      </x:c>
      <x:c r="Q223" s="672" t="n">
        <x:f>D155</x:f>
        <x:v>0.16809156810684023</x:v>
      </x:c>
      <x:c r="R223" s="599" t="str">
        <x:v>Monthly CF tab</x:v>
      </x:c>
      <x:c r="S223" s="599" t="str">
        <x:v>Calculated equity return; includes funding, operations and exit.</x:v>
      </x:c>
    </x:row>
    <x:row r="224" ht="17.110000610351562" hidden="0" customHeight="1">
      <x:c r="P224" s="509" t="str">
        <x:v>Equity cash multiple</x:v>
      </x:c>
      <x:c r="Q224" s="668" t="n">
        <x:f>D156</x:f>
        <x:v>3.9275938676797235</x:v>
      </x:c>
      <x:c r="R224" s="510" t="str">
        <x:v>Monthly CF tab</x:v>
      </x:c>
      <x:c r="S224" s="510" t="str">
        <x:v>Total modeled equity receipts divided by equity funded.</x:v>
      </x:c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22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164:N164"/>
    <x:mergeCell ref="C165:N165"/>
    <x:mergeCell ref="C166:N166"/>
    <x:mergeCell ref="C3:N3"/>
    <x:mergeCell ref="C4:N4"/>
    <x:mergeCell ref="C5:N5"/>
    <x:mergeCell ref="C160:N160"/>
    <x:mergeCell ref="C163:N163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1136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1137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1138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1139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1140</x:v>
      </x:c>
      <x:c r="D12" s="988" t="n">
        <x:f>Inputs!D12</x:f>
        <x:v>24</x:v>
      </x:c>
      <x:c r="E12" s="450" t="str">
        <x:v>Inputs tab</x:v>
      </x:c>
      <x:c r="F12" s="450" t="s">
        <x:v>1141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1142</x:v>
      </x:c>
      <x:c r="D13" s="990" t="n">
        <x:f>Inputs!D28</x:f>
        <x:v>10</x:v>
      </x:c>
      <x:c r="E13" s="453" t="str">
        <x:v>Inputs tab</x:v>
      </x:c>
      <x:c r="F13" s="453" t="s">
        <x:v>1143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1144</x:v>
      </x:c>
      <x:c r="D14" s="913" t="n">
        <x:f>'Monthly CF'!D157</x:f>
        <x:v>90788600</x:v>
      </x:c>
      <x:c r="E14" s="450" t="str">
        <x:v>Monthly CF tab</x:v>
      </x:c>
      <x:c r="F14" s="450" t="s">
        <x:v>1145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1146</x:v>
      </x:c>
      <x:c r="D15" s="901" t="n">
        <x:f>'Monthly CF'!D158</x:f>
        <x:v>0</x:v>
      </x:c>
      <x:c r="E15" s="453" t="str">
        <x:v>Monthly CF tab</x:v>
      </x:c>
      <x:c r="F15" s="453" t="s">
        <x:v>1147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5" customHeight="1">
      <x:c r="A16" s="4"/>
      <x:c r="B16" s="5"/>
      <x:c r="C16" s="641" t="s">
        <x:v>1148</x:v>
      </x:c>
      <x:c r="D16" s="977"/>
      <x:c r="E16" s="642"/>
      <x:c r="F16" s="642"/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1149</x:v>
      </x:c>
      <x:c r="D17" s="901" t="n">
        <x:f>Landlord!D25</x:f>
        <x:v>10564200</x:v>
      </x:c>
      <x:c r="E17" s="453" t="str">
        <x:v>Landlord tab</x:v>
      </x:c>
      <x:c r="F17" s="453" t="s">
        <x:v>1150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1151</x:v>
      </x:c>
      <x:c r="D18" s="913" t="n">
        <x:f>Landlord!E25</x:f>
        <x:v>10991699.999999993</x:v>
      </x:c>
      <x:c r="E18" s="450" t="str">
        <x:v>Landlord tab</x:v>
      </x:c>
      <x:c r="F18" s="450" t="s">
        <x:v>1152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1153</x:v>
      </x:c>
      <x:c r="D19" s="901" t="n">
        <x:f>Landlord!F25</x:f>
        <x:v>11428649.999999989</x:v>
      </x:c>
      <x:c r="E19" s="453" t="str">
        <x:v>Landlord tab</x:v>
      </x:c>
      <x:c r="F19" s="453" t="s">
        <x:v>1154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1155</x:v>
      </x:c>
      <x:c r="D20" s="913" t="n">
        <x:f>Landlord!G25</x:f>
        <x:v>11875249.124999996</x:v>
      </x:c>
      <x:c r="E20" s="450" t="str">
        <x:v>Landlord tab</x:v>
      </x:c>
      <x:c r="F20" s="450" t="s">
        <x:v>1156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1157</x:v>
      </x:c>
      <x:c r="D21" s="901" t="n">
        <x:f>Landlord!H25</x:f>
        <x:v>12331700.364374992</x:v>
      </x:c>
      <x:c r="E21" s="453" t="str">
        <x:v>Landlord tab</x:v>
      </x:c>
      <x:c r="F21" s="453" t="s">
        <x:v>1158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1159</x:v>
      </x:c>
      <x:c r="D22" s="913" t="n">
        <x:f>Landlord!I25</x:f>
        <x:v>12798210.635071866</x:v>
      </x:c>
      <x:c r="E22" s="450" t="str">
        <x:v>Landlord tab</x:v>
      </x:c>
      <x:c r="F22" s="450" t="s">
        <x:v>1160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1161</x:v>
      </x:c>
      <x:c r="D23" s="901" t="n">
        <x:f>Landlord!J25</x:f>
        <x:v>13274990.845383782</x:v>
      </x:c>
      <x:c r="E23" s="453" t="str">
        <x:v>Landlord tab</x:v>
      </x:c>
      <x:c r="F23" s="453" t="s">
        <x:v>1162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1163</x:v>
      </x:c>
      <x:c r="D24" s="913" t="n">
        <x:f>Landlord!K25</x:f>
        <x:v>13762255.959286556</x:v>
      </x:c>
      <x:c r="E24" s="450" t="str">
        <x:v>Landlord tab</x:v>
      </x:c>
      <x:c r="F24" s="450" t="s">
        <x:v>1164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1165</x:v>
      </x:c>
      <x:c r="D25" s="901" t="n">
        <x:f>Landlord!L25</x:f>
        <x:v>14260225.061319947</x:v>
      </x:c>
      <x:c r="E25" s="453" t="str">
        <x:v>Landlord tab</x:v>
      </x:c>
      <x:c r="F25" s="453" t="s">
        <x:v>1166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1167</x:v>
      </x:c>
      <x:c r="D26" s="913" t="n">
        <x:f>Landlord!M25</x:f>
        <x:v>14769121.4219957</x:v>
      </x:c>
      <x:c r="E26" s="450" t="str">
        <x:v>Landlord tab</x:v>
      </x:c>
      <x:c r="F26" s="450" t="s">
        <x:v>1168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5" customHeight="1">
      <x:c r="A27" s="4"/>
      <x:c r="B27" s="5"/>
      <x:c r="C27" s="641" t="s">
        <x:v>1169</x:v>
      </x:c>
      <x:c r="D27" s="977"/>
      <x:c r="E27" s="642"/>
      <x:c r="F27" s="642"/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1170</x:v>
      </x:c>
      <x:c r="D28" s="472" t="n">
        <x:f>'Monthly CF'!D154</x:f>
        <x:v>0.12524132825920375</x:v>
      </x:c>
      <x:c r="E28" s="450" t="str">
        <x:v>Monthly CF tab</x:v>
      </x:c>
      <x:c r="F28" s="450" t="s">
        <x:v>1171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1172</x:v>
      </x:c>
      <x:c r="D29" s="468" t="n">
        <x:f>'Monthly CF'!D155</x:f>
        <x:v>0.16809156810684023</x:v>
      </x:c>
      <x:c r="E29" s="453" t="str">
        <x:v>Monthly CF tab</x:v>
      </x:c>
      <x:c r="F29" s="453" t="s">
        <x:v>1173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">
        <x:v>180</x:v>
      </x:c>
      <x:c r="D30" s="925" t="n">
        <x:f>'Monthly CF'!D156</x:f>
        <x:v>3.9275938676797235</x:v>
      </x:c>
      <x:c r="E30" s="450" t="str">
        <x:v>Monthly CF tab</x:v>
      </x:c>
      <x:c r="F30" s="450" t="s">
        <x:v>1174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22.75" customHeight="1">
      <x:c r="A31" s="4"/>
      <x:c r="B31" s="5"/>
      <x:c r="C31" s="454" t="s">
        <x:v>1175</x:v>
      </x:c>
      <x:c r="D31" s="901" t="n">
        <x:f>Landlord!M38</x:f>
        <x:v>230524445.20279455</x:v>
      </x:c>
      <x:c r="E31" s="453" t="str">
        <x:v>Landlord tab</x:v>
      </x:c>
      <x:c r="F31" s="453" t="s">
        <x:v>1176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9" customHeight="1">
      <x:c r="A32" s="4"/>
      <x:c r="B32" s="5"/>
      <x:c r="C32" s="454"/>
      <x:c r="D32" s="979"/>
      <x:c r="E32" s="453"/>
      <x:c r="F32" s="453"/>
      <x:c r="G32" s="579"/>
      <x:c r="H32" s="579"/>
      <x:c r="I32" s="579"/>
      <x:c r="J32" s="579"/>
      <x:c r="K32" s="579"/>
      <x:c r="L32" s="579"/>
      <x:c r="M32" s="579"/>
      <x:c r="N32" s="579"/>
    </x:row>
    <x:row r="33" ht="22.200000762939453" customHeight="1">
      <x:c r="A33" s="7"/>
      <x:c r="B33" s="8"/>
      <x:c r="C33" s="621" t="s">
        <x:v>233</x:v>
      </x:c>
      <x:c r="D33" s="979"/>
      <x:c r="E33" s="453"/>
      <x:c r="F33" s="453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10  |  MONTHLY CASH FLOW &amp; RETURNS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Which months absorb equity and when does investment capital come back?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Transaction timing matters: a delayed acceptance date can change returns even without a cost overrun.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MONTHLY UNDERWRITING | PRINT SUMMARY</x:v>
      </x:c>
      <x:c r="Q211" s="1047"/>
      <x:c r="R211" s="685" t="str"/>
      <x:c r="S211" s="685" t="str"/>
    </x:row>
    <x:row r="212" ht="17.110000610351562" hidden="0" customHeight="1">
      <x:c r="P212" s="509" t="str">
        <x:v>Build period (months)</x:v>
      </x:c>
      <x:c r="Q212" s="1066" t="n">
        <x:f>E10_Monthly_Returns!D12</x:f>
        <x:v>24</x:v>
      </x:c>
      <x:c r="R212" s="510" t="str">
        <x:v>Inputs tab</x:v>
      </x:c>
      <x:c r="S212" s="510" t="str">
        <x:v>Detailed month 0–24 remain in A:L.</x:v>
      </x:c>
    </x:row>
    <x:row r="213" ht="17.110000610351562" hidden="0" customHeight="1">
      <x:c r="P213" s="597" t="str">
        <x:v>Operating hold (years)</x:v>
      </x:c>
      <x:c r="Q213" s="1067" t="n">
        <x:f>E10_Monthly_Returns!D13</x:f>
        <x:v>10</x:v>
      </x:c>
      <x:c r="R213" s="599" t="str">
        <x:v>Inputs tab</x:v>
      </x:c>
      <x:c r="S213" s="599" t="str">
        <x:v>Full monthly schedule remains below the print view.</x:v>
      </x:c>
    </x:row>
    <x:row r="214" ht="17.110000610351562" hidden="0" customHeight="1">
      <x:c r="P214" s="509" t="str">
        <x:v>Total developer equity funded during construction</x:v>
      </x:c>
      <x:c r="Q214" s="1036" t="n">
        <x:f>E10_Monthly_Returns!D14</x:f>
        <x:v>90788600</x:v>
      </x:c>
      <x:c r="R214" s="510" t="str">
        <x:v>Monthly CF tab</x:v>
      </x:c>
      <x:c r="S214" s="510" t="str">
        <x:v>Reconciles to Development!D32.</x:v>
      </x:c>
    </x:row>
    <x:row r="215" ht="17.110000610351562" hidden="0" customHeight="1">
      <x:c r="P215" s="597" t="str">
        <x:v>Monthly CF equity funding check</x:v>
      </x:c>
      <x:c r="Q215" s="1037" t="n">
        <x:f>E10_Monthly_Returns!D15</x:f>
        <x:v>0</x:v>
      </x:c>
      <x:c r="R215" s="599" t="str">
        <x:v>Monthly CF tab</x:v>
      </x:c>
      <x:c r="S215" s="599" t="str">
        <x:v>Must equal zero.</x:v>
      </x:c>
    </x:row>
    <x:row r="216" ht="16" hidden="0" customHeight="1">
      <x:c r="P216" s="684" t="str">
        <x:v>ANNUAL CASH TO EQUITY | SOURCE: LANDLORD</x:v>
      </x:c>
      <x:c r="Q216" s="1047"/>
      <x:c r="R216" s="685" t="str"/>
      <x:c r="S216" s="685" t="str"/>
    </x:row>
    <x:row r="217" ht="17.110000610351562" hidden="0" customHeight="1">
      <x:c r="P217" s="597" t="str">
        <x:v>Operating year 1</x:v>
      </x:c>
      <x:c r="Q217" s="1037" t="n">
        <x:f>E10_Monthly_Returns!D17</x:f>
        <x:v>10564200</x:v>
      </x:c>
      <x:c r="R217" s="599" t="str">
        <x:v>Landlord tab</x:v>
      </x:c>
      <x:c r="S217" s="599" t="str">
        <x:v>Annual operating cash, excludes terminal sale.</x:v>
      </x:c>
    </x:row>
    <x:row r="218" ht="17.110000610351562" hidden="0" customHeight="1">
      <x:c r="P218" s="509" t="str">
        <x:v>Operating year 2</x:v>
      </x:c>
      <x:c r="Q218" s="1036" t="n">
        <x:f>E10_Monthly_Returns!D18</x:f>
        <x:v>10991699.999999993</x:v>
      </x:c>
      <x:c r="R218" s="510" t="str">
        <x:v>Landlord tab</x:v>
      </x:c>
      <x:c r="S218" s="510" t="str">
        <x:v>Escalating contractual rent.</x:v>
      </x:c>
    </x:row>
    <x:row r="219" ht="17.110000610351562" hidden="0" customHeight="1">
      <x:c r="P219" s="597" t="str">
        <x:v>Operating year 3</x:v>
      </x:c>
      <x:c r="Q219" s="1037" t="n">
        <x:f>E10_Monthly_Returns!D19</x:f>
        <x:v>11428649.999999989</x:v>
      </x:c>
      <x:c r="R219" s="599" t="str">
        <x:v>Landlord tab</x:v>
      </x:c>
      <x:c r="S219" s="599" t="str">
        <x:v>Assumes no rent default.</x:v>
      </x:c>
    </x:row>
    <x:row r="220" ht="17.110000610351562" hidden="0" customHeight="1">
      <x:c r="P220" s="509" t="str">
        <x:v>Operating year 4</x:v>
      </x:c>
      <x:c r="Q220" s="1036" t="n">
        <x:f>E10_Monthly_Returns!D20</x:f>
        <x:v>11875249.124999996</x:v>
      </x:c>
      <x:c r="R220" s="510" t="str">
        <x:v>Landlord tab</x:v>
      </x:c>
      <x:c r="S220" s="510" t="str">
        <x:v>Before tax and extraordinary repairs.</x:v>
      </x:c>
    </x:row>
    <x:row r="221" ht="17.110000610351562" hidden="0" customHeight="1">
      <x:c r="P221" s="597" t="str">
        <x:v>Operating year 5</x:v>
      </x:c>
      <x:c r="Q221" s="1037" t="n">
        <x:f>E10_Monthly_Returns!D21</x:f>
        <x:v>12331700.364374992</x:v>
      </x:c>
      <x:c r="R221" s="599" t="str">
        <x:v>Landlord tab</x:v>
      </x:c>
      <x:c r="S221" s="599" t="str">
        <x:v>Lease not yet expired.</x:v>
      </x:c>
    </x:row>
    <x:row r="222" ht="17.110000610351562" hidden="0" customHeight="1">
      <x:c r="P222" s="509" t="str">
        <x:v>Operating year 6</x:v>
      </x:c>
      <x:c r="Q222" s="1036" t="n">
        <x:f>E10_Monthly_Returns!D22</x:f>
        <x:v>12798210.635071866</x:v>
      </x:c>
      <x:c r="R222" s="510" t="str">
        <x:v>Landlord tab</x:v>
      </x:c>
      <x:c r="S222" s="510" t="str">
        <x:v>No financing amortization.</x:v>
      </x:c>
    </x:row>
    <x:row r="223" ht="17.110000610351562" hidden="0" customHeight="1">
      <x:c r="P223" s="597" t="str">
        <x:v>Operating year 7</x:v>
      </x:c>
      <x:c r="Q223" s="1037" t="n">
        <x:f>E10_Monthly_Returns!D23</x:f>
        <x:v>13274990.845383782</x:v>
      </x:c>
      <x:c r="R223" s="599" t="str">
        <x:v>Landlord tab</x:v>
      </x:c>
      <x:c r="S223" s="599" t="str">
        <x:v>Fully billed reserved IT load.</x:v>
      </x:c>
    </x:row>
    <x:row r="224" ht="17.110000610351562" hidden="0" customHeight="1">
      <x:c r="P224" s="509" t="str">
        <x:v>Operating year 8</x:v>
      </x:c>
      <x:c r="Q224" s="1036" t="n">
        <x:f>E10_Monthly_Returns!D24</x:f>
        <x:v>13762255.959286556</x:v>
      </x:c>
      <x:c r="R224" s="510" t="str">
        <x:v>Landlord tab</x:v>
      </x:c>
      <x:c r="S224" s="510" t="str">
        <x:v>OPEX grows separately.</x:v>
      </x:c>
    </x:row>
    <x:row r="225" ht="17.110000610351562" hidden="0" customHeight="1">
      <x:c r="P225" s="597" t="str">
        <x:v>Operating year 9</x:v>
      </x:c>
      <x:c r="Q225" s="1037" t="n">
        <x:f>E10_Monthly_Returns!D25</x:f>
        <x:v>14260225.061319947</x:v>
      </x:c>
      <x:c r="R225" s="599" t="str">
        <x:v>Landlord tab</x:v>
      </x:c>
      <x:c r="S225" s="599" t="str">
        <x:v>Tenant remains in modeled occupancy.</x:v>
      </x:c>
    </x:row>
    <x:row r="226" ht="17.110000610351562" hidden="0" customHeight="1">
      <x:c r="P226" s="509" t="str">
        <x:v>Operating year 10</x:v>
      </x:c>
      <x:c r="Q226" s="1036" t="n">
        <x:f>E10_Monthly_Returns!D26</x:f>
        <x:v>14769121.4219957</x:v>
      </x:c>
      <x:c r="R226" s="510" t="str">
        <x:v>Landlord tab</x:v>
      </x:c>
      <x:c r="S226" s="510" t="str">
        <x:v>Sales proceeds accounted for separately.</x:v>
      </x:c>
    </x:row>
    <x:row r="227" ht="16" hidden="0" customHeight="1">
      <x:c r="P227" s="684" t="str">
        <x:v>DISCOUNTED RETURNS | MONTHLY SERIES</x:v>
      </x:c>
      <x:c r="Q227" s="1047"/>
      <x:c r="R227" s="685" t="str"/>
      <x:c r="S227" s="685" t="str"/>
    </x:row>
    <x:row r="228" ht="17.110000610351562" hidden="0" customHeight="1">
      <x:c r="P228" s="509" t="str">
        <x:v>Unlevered annualized project IRR</x:v>
      </x:c>
      <x:c r="Q228" s="611" t="n">
        <x:f>E10_Monthly_Returns!D28</x:f>
        <x:v>0.12524132825920375</x:v>
      </x:c>
      <x:c r="R228" s="510" t="str">
        <x:v>Monthly CF tab</x:v>
      </x:c>
      <x:c r="S228" s="510" t="str">
        <x:v>Includes construction and year-ten sale.</x:v>
      </x:c>
    </x:row>
    <x:row r="229" ht="17.110000610351562" hidden="0" customHeight="1">
      <x:c r="P229" s="597" t="str">
        <x:v>Levered annualized equity IRR</x:v>
      </x:c>
      <x:c r="Q229" s="672" t="n">
        <x:f>E10_Monthly_Returns!D29</x:f>
        <x:v>0.16809156810684023</x:v>
      </x:c>
      <x:c r="R229" s="599" t="str">
        <x:v>Monthly CF tab</x:v>
      </x:c>
      <x:c r="S229" s="599" t="str">
        <x:v>Sensitive to exit assumption.</x:v>
      </x:c>
    </x:row>
    <x:row r="230" ht="17.110000610351562" hidden="0" customHeight="1">
      <x:c r="P230" s="509" t="str">
        <x:v>Equity cash multiple</x:v>
      </x:c>
      <x:c r="Q230" s="668" t="n">
        <x:f>E10_Monthly_Returns!D30</x:f>
        <x:v>3.9275938676797235</x:v>
      </x:c>
      <x:c r="R230" s="510" t="str">
        <x:v>Monthly CF tab</x:v>
      </x:c>
      <x:c r="S230" s="510" t="str">
        <x:v>Before taxes; modeled proceeds.</x:v>
      </x:c>
    </x:row>
    <x:row r="231" ht="17.110000610351562" hidden="0" customHeight="1">
      <x:c r="P231" s="597" t="str">
        <x:v>Year-10 sale proceeds</x:v>
      </x:c>
      <x:c r="Q231" s="1037" t="n">
        <x:f>E10_Monthly_Returns!D31</x:f>
        <x:v>230524445.20279455</x:v>
      </x:c>
      <x:c r="R231" s="599" t="str">
        <x:v>Landlord tab</x:v>
      </x:c>
      <x:c r="S231" s="599" t="str">
        <x:v>Terminal cash after sale costs and loan payoff.</x:v>
      </x:c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23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7:F27"/>
    <x:mergeCell ref="C33:F33"/>
    <x:mergeCell ref="C3:D3"/>
    <x:mergeCell ref="C4:F4"/>
    <x:mergeCell ref="C5:F5"/>
    <x:mergeCell ref="C7:F7"/>
    <x:mergeCell ref="C11:F11"/>
    <x:mergeCell ref="C16:F16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16:S216"/>
    <x:mergeCell ref="P227:S227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4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35.61328125" customWidth="1"/>
    <x:col min="4" max="4" width="18.15234375" customWidth="1"/>
    <x:col min="5" max="5" width="19.3828125" customWidth="1"/>
    <x:col min="6" max="6" width="24.3828125" customWidth="1"/>
    <x:col min="7" max="7" width="53.76562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3"/>
    </x:row>
    <x:row r="2" ht="12" customHeight="1">
      <x:c r="A2" s="4"/>
      <x:c r="B2" s="5"/>
      <x:c r="C2" s="5"/>
      <x:c r="D2" s="5"/>
      <x:c r="E2" s="5"/>
      <x:c r="F2" s="5"/>
      <x:c r="G2" s="6"/>
    </x:row>
    <x:row r="3" ht="34" customHeight="1">
      <x:c r="A3" s="4"/>
      <x:c r="B3" s="5"/>
      <x:c r="C3" s="617" t="s">
        <x:v>1177</x:v>
      </x:c>
      <x:c r="D3" s="618"/>
      <x:c r="E3" s="618"/>
      <x:c r="F3" s="618"/>
      <x:c r="G3" s="618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1178</x:v>
      </x:c>
      <x:c r="D4" s="569"/>
      <x:c r="E4" s="569"/>
      <x:c r="F4" s="569"/>
      <x:c r="G4" s="569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1179</x:v>
      </x:c>
      <x:c r="D5" s="633"/>
      <x:c r="E5" s="633"/>
      <x:c r="F5" s="633"/>
      <x:c r="G5" s="633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1180</x:v>
      </x:c>
      <x:c r="D6" s="623" t="s">
        <x:v>1181</x:v>
      </x:c>
      <x:c r="E6" s="623" t="s">
        <x:v>1182</x:v>
      </x:c>
      <x:c r="F6" s="623" t="s">
        <x:v>1183</x:v>
      </x:c>
      <x:c r="G6" s="623" t="s">
        <x:v>1184</x:v>
      </x:c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1185</x:v>
      </x:c>
      <x:c r="D7" s="822">
        <x:v>4496.5</x:v>
      </x:c>
      <x:c r="E7" s="822">
        <x:v>10.8</x:v>
      </x:c>
      <x:c r="F7" s="771" t="n">
        <x:f>E7/D7</x:f>
        <x:v>0.002401868119648616</x:v>
      </x:c>
      <x:c r="G7" s="453" t="s">
        <x:v>1186</x:v>
      </x:c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644" t="s">
        <x:v>1187</x:v>
      </x:c>
      <x:c r="D8" s="107">
        <x:v>509.2</x:v>
      </x:c>
      <x:c r="E8" s="107">
        <x:v>21.2</x:v>
      </x:c>
      <x:c r="F8" s="34" t="n">
        <x:f>E8/D8</x:f>
        <x:v>0.041633935585231735</x:v>
      </x:c>
      <x:c r="G8" s="645" t="s">
        <x:v>1188</x:v>
      </x:c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454" t="s">
        <x:v>1189</x:v>
      </x:c>
      <x:c r="D9" s="822">
        <x:v>1069.2</x:v>
      </x:c>
      <x:c r="E9" s="822">
        <x:v>12.1</x:v>
      </x:c>
      <x:c r="F9" s="771" t="n">
        <x:f>E9/D9</x:f>
        <x:v>0.011316872427983538</x:v>
      </x:c>
      <x:c r="G9" s="453" t="s">
        <x:v>1190</x:v>
      </x:c>
      <x:c r="H9" s="579"/>
      <x:c r="I9" s="579"/>
      <x:c r="J9" s="579"/>
      <x:c r="K9" s="579"/>
      <x:c r="L9" s="579"/>
      <x:c r="M9" s="579"/>
      <x:c r="N9" s="579"/>
    </x:row>
    <x:row r="10" ht="9" customHeight="1">
      <x:c r="A10" s="4"/>
      <x:c r="B10" s="5"/>
      <x:c r="C10" s="454"/>
      <x:c r="D10" s="453"/>
      <x:c r="E10" s="453"/>
      <x:c r="F10" s="453"/>
      <x:c r="G10" s="453"/>
      <x:c r="H10" s="579"/>
      <x:c r="I10" s="579"/>
      <x:c r="J10" s="579"/>
      <x:c r="K10" s="579"/>
      <x:c r="L10" s="579"/>
      <x:c r="M10" s="579"/>
      <x:c r="N10" s="579"/>
    </x:row>
    <x:row r="11" ht="22.200000762939453" customHeight="1">
      <x:c r="A11" s="4"/>
      <x:c r="B11" s="5"/>
      <x:c r="C11" s="621" t="s">
        <x:v>1191</x:v>
      </x:c>
      <x:c r="D11" s="453"/>
      <x:c r="E11" s="453"/>
      <x:c r="F11" s="453"/>
      <x:c r="G11" s="453"/>
      <x:c r="H11" s="579"/>
      <x:c r="I11" s="579"/>
      <x:c r="J11" s="579"/>
      <x:c r="K11" s="579"/>
      <x:c r="L11" s="579"/>
      <x:c r="M11" s="579"/>
      <x:c r="N11" s="579"/>
    </x:row>
    <x:row r="12" ht="9" customHeight="1">
      <x:c r="A12" s="4"/>
      <x:c r="B12" s="5"/>
      <x:c r="C12" s="454"/>
      <x:c r="D12" s="453"/>
      <x:c r="E12" s="453"/>
      <x:c r="F12" s="453"/>
      <x:c r="G12" s="453"/>
      <x:c r="H12" s="579"/>
      <x:c r="I12" s="579"/>
      <x:c r="J12" s="579"/>
      <x:c r="K12" s="579"/>
      <x:c r="L12" s="579"/>
      <x:c r="M12" s="579"/>
      <x:c r="N12" s="579"/>
    </x:row>
    <x:row r="13" ht="26.049999237060547" customHeight="1">
      <x:c r="A13" s="4"/>
      <x:c r="B13" s="5"/>
      <x:c r="C13" s="641" t="s">
        <x:v>1192</x:v>
      </x:c>
      <x:c r="D13" s="642"/>
      <x:c r="E13" s="642"/>
      <x:c r="F13" s="642"/>
      <x:c r="G13" s="642"/>
      <x:c r="H13" s="579"/>
      <x:c r="I13" s="579"/>
      <x:c r="J13" s="579"/>
      <x:c r="K13" s="579"/>
      <x:c r="L13" s="579"/>
      <x:c r="M13" s="579"/>
      <x:c r="N13" s="579"/>
    </x:row>
    <x:row r="14" ht="34" customHeight="1">
      <x:c r="A14" s="4"/>
      <x:c r="B14" s="5"/>
      <x:c r="C14" s="622" t="s">
        <x:v>1193</x:v>
      </x:c>
      <x:c r="D14" s="623" t="s">
        <x:v>237</x:v>
      </x:c>
      <x:c r="E14" s="623" t="s">
        <x:v>238</x:v>
      </x:c>
      <x:c r="F14" s="623" t="s">
        <x:v>1194</x:v>
      </x:c>
      <x:c r="G14" s="623" t="s">
        <x:v>701</x:v>
      </x:c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1195</x:v>
      </x:c>
      <x:c r="D15" s="822">
        <x:v>10903</x:v>
      </x:c>
      <x:c r="E15" s="453" t="s">
        <x:v>241</x:v>
      </x:c>
      <x:c r="F15" s="453" t="s">
        <x:v>1196</x:v>
      </x:c>
      <x:c r="G15" s="453" t="s">
        <x:v>1197</x:v>
      </x:c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1198</x:v>
      </x:c>
      <x:c r="D16" s="823">
        <x:v>7481.1</x:v>
      </x:c>
      <x:c r="E16" s="450" t="s">
        <x:v>241</x:v>
      </x:c>
      <x:c r="F16" s="450" t="s">
        <x:v>1196</x:v>
      </x:c>
      <x:c r="G16" s="450" t="s">
        <x:v>1199</x:v>
      </x:c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644" t="s">
        <x:v>1200</x:v>
      </x:c>
      <x:c r="D17" s="34">
        <x:v>0.80400000000000005</x:v>
      </x:c>
      <x:c r="E17" s="645" t="s">
        <x:v>272</x:v>
      </x:c>
      <x:c r="F17" s="645" t="s">
        <x:v>1196</x:v>
      </x:c>
      <x:c r="G17" s="645" t="s">
        <x:v>1201</x:v>
      </x:c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1202</x:v>
      </x:c>
      <x:c r="D18" s="823">
        <x:v>66000</x:v>
      </x:c>
      <x:c r="E18" s="450" t="s">
        <x:v>1203</x:v>
      </x:c>
      <x:c r="F18" s="450" t="s">
        <x:v>1204</x:v>
      </x:c>
      <x:c r="G18" s="450" t="s">
        <x:v>1205</x:v>
      </x:c>
      <x:c r="H18" s="579"/>
      <x:c r="I18" s="579"/>
      <x:c r="J18" s="579"/>
      <x:c r="K18" s="579"/>
      <x:c r="L18" s="579"/>
      <x:c r="M18" s="579"/>
      <x:c r="N18" s="579"/>
    </x:row>
    <x:row r="19" ht="9" customHeight="1">
      <x:c r="A19" s="4"/>
      <x:c r="B19" s="5"/>
      <x:c r="C19" s="454"/>
      <x:c r="D19" s="453"/>
      <x:c r="E19" s="453"/>
      <x:c r="F19" s="453"/>
      <x:c r="G19" s="453"/>
      <x:c r="H19" s="579"/>
      <x:c r="I19" s="579"/>
      <x:c r="J19" s="579"/>
      <x:c r="K19" s="579"/>
      <x:c r="L19" s="579"/>
      <x:c r="M19" s="579"/>
      <x:c r="N19" s="579"/>
    </x:row>
    <x:row r="20" ht="22.200000762939453" customHeight="1">
      <x:c r="A20" s="4"/>
      <x:c r="B20" s="5"/>
      <x:c r="C20" s="621" t="s">
        <x:v>1206</x:v>
      </x:c>
      <x:c r="D20" s="453"/>
      <x:c r="E20" s="453"/>
      <x:c r="F20" s="453"/>
      <x:c r="G20" s="453"/>
      <x:c r="H20" s="579"/>
      <x:c r="I20" s="579"/>
      <x:c r="J20" s="579"/>
      <x:c r="K20" s="579"/>
      <x:c r="L20" s="579"/>
      <x:c r="M20" s="579"/>
      <x:c r="N20" s="579"/>
    </x:row>
    <x:row r="21" ht="9" customHeight="1">
      <x:c r="A21" s="4"/>
      <x:c r="B21" s="5"/>
      <x:c r="C21" s="454"/>
      <x:c r="D21" s="453"/>
      <x:c r="E21" s="453"/>
      <x:c r="F21" s="453"/>
      <x:c r="G21" s="453"/>
      <x:c r="H21" s="579"/>
      <x:c r="I21" s="579"/>
      <x:c r="J21" s="579"/>
      <x:c r="K21" s="579"/>
      <x:c r="L21" s="579"/>
      <x:c r="M21" s="579"/>
      <x:c r="N21" s="579"/>
    </x:row>
    <x:row r="22" ht="9" customHeight="1">
      <x:c r="A22" s="4"/>
      <x:c r="B22" s="5"/>
      <x:c r="C22" s="454"/>
      <x:c r="D22" s="453"/>
      <x:c r="E22" s="453"/>
      <x:c r="F22" s="453"/>
      <x:c r="G22" s="453"/>
      <x:c r="H22" s="579"/>
      <x:c r="I22" s="579"/>
      <x:c r="J22" s="579"/>
      <x:c r="K22" s="579"/>
      <x:c r="L22" s="579"/>
      <x:c r="M22" s="579"/>
      <x:c r="N22" s="579"/>
    </x:row>
    <x:row r="23" ht="26.049999237060547" customHeight="1">
      <x:c r="A23" s="4"/>
      <x:c r="B23" s="5"/>
      <x:c r="C23" s="641" t="s">
        <x:v>1207</x:v>
      </x:c>
      <x:c r="D23" s="642"/>
      <x:c r="E23" s="642"/>
      <x:c r="F23" s="642"/>
      <x:c r="G23" s="642"/>
      <x:c r="H23" s="579"/>
      <x:c r="I23" s="579"/>
      <x:c r="J23" s="579"/>
      <x:c r="K23" s="579"/>
      <x:c r="L23" s="579"/>
      <x:c r="M23" s="579"/>
      <x:c r="N23" s="579"/>
    </x:row>
    <x:row r="24" ht="9" customHeight="1">
      <x:c r="A24" s="4"/>
      <x:c r="B24" s="5"/>
      <x:c r="C24" s="454"/>
      <x:c r="D24" s="453"/>
      <x:c r="E24" s="453"/>
      <x:c r="F24" s="453"/>
      <x:c r="G24" s="453"/>
      <x:c r="H24" s="579"/>
      <x:c r="I24" s="579"/>
      <x:c r="J24" s="579"/>
      <x:c r="K24" s="579"/>
      <x:c r="L24" s="579"/>
      <x:c r="M24" s="579"/>
      <x:c r="N24" s="579"/>
    </x:row>
    <x:row r="25" ht="34" customHeight="1">
      <x:c r="A25" s="4"/>
      <x:c r="B25" s="5"/>
      <x:c r="C25" s="622" t="s">
        <x:v>1208</x:v>
      </x:c>
      <x:c r="D25" s="623" t="s">
        <x:v>237</x:v>
      </x:c>
      <x:c r="E25" s="623" t="s">
        <x:v>238</x:v>
      </x:c>
      <x:c r="F25" s="623" t="s">
        <x:v>103</x:v>
      </x:c>
      <x:c r="G25" s="623" t="s">
        <x:v>604</x:v>
      </x:c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1209</x:v>
      </x:c>
      <x:c r="D26" s="646" t="n">
        <x:f>Inputs!D7/D8</x:f>
        <x:v>0.019638648860958365</x:v>
      </x:c>
      <x:c r="E26" s="450" t="s">
        <x:v>272</x:v>
      </x:c>
      <x:c r="F26" s="450" t="s">
        <x:v>1210</x:v>
      </x:c>
      <x:c r="G26" s="450" t="s">
        <x:v>1211</x:v>
      </x:c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1212</x:v>
      </x:c>
      <x:c r="D27" s="648" t="n">
        <x:f>Inputs!D7/E8</x:f>
        <x:v>0.4716981132075472</x:v>
      </x:c>
      <x:c r="E27" s="453" t="s">
        <x:v>272</x:v>
      </x:c>
      <x:c r="F27" s="453" t="s">
        <x:v>1213</x:v>
      </x:c>
      <x:c r="G27" s="453" t="s">
        <x:v>1214</x:v>
      </x:c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1215</x:v>
      </x:c>
      <x:c r="D28" s="823">
        <x:v>144</x:v>
      </x:c>
      <x:c r="E28" s="450" t="s">
        <x:v>241</x:v>
      </x:c>
      <x:c r="F28" s="450" t="s">
        <x:v>1216</x:v>
      </x:c>
      <x:c r="G28" s="450" t="s">
        <x:v>1217</x:v>
      </x:c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1218</x:v>
      </x:c>
      <x:c r="D29" s="822">
        <x:v>22</x:v>
      </x:c>
      <x:c r="E29" s="453" t="s">
        <x:v>1219</x:v>
      </x:c>
      <x:c r="F29" s="453" t="s">
        <x:v>1216</x:v>
      </x:c>
      <x:c r="G29" s="453" t="s">
        <x:v>1220</x:v>
      </x:c>
      <x:c r="H29" s="579"/>
      <x:c r="I29" s="579"/>
      <x:c r="J29" s="579"/>
      <x:c r="K29" s="579"/>
      <x:c r="L29" s="579"/>
      <x:c r="M29" s="579"/>
      <x:c r="N29" s="579"/>
    </x:row>
    <x:row r="30" ht="9" customHeight="1">
      <x:c r="A30" s="4"/>
      <x:c r="B30" s="5"/>
      <x:c r="C30" s="454"/>
      <x:c r="D30" s="453"/>
      <x:c r="E30" s="453"/>
      <x:c r="F30" s="453"/>
      <x:c r="G30" s="453"/>
      <x:c r="H30" s="579"/>
      <x:c r="I30" s="579"/>
      <x:c r="J30" s="579"/>
      <x:c r="K30" s="579"/>
      <x:c r="L30" s="579"/>
      <x:c r="M30" s="579"/>
      <x:c r="N30" s="579"/>
    </x:row>
    <x:row r="31" ht="22.200000762939453" customHeight="1">
      <x:c r="A31" s="4"/>
      <x:c r="B31" s="5"/>
      <x:c r="C31" s="621" t="s">
        <x:v>1221</x:v>
      </x:c>
      <x:c r="D31" s="453"/>
      <x:c r="E31" s="453"/>
      <x:c r="F31" s="453"/>
      <x:c r="G31" s="453"/>
      <x:c r="H31" s="579"/>
      <x:c r="I31" s="579"/>
      <x:c r="J31" s="579"/>
      <x:c r="K31" s="579"/>
      <x:c r="L31" s="579"/>
      <x:c r="M31" s="579"/>
      <x:c r="N31" s="579"/>
    </x:row>
    <x:row r="32" ht="9" customHeight="1">
      <x:c r="A32" s="4"/>
      <x:c r="B32" s="5"/>
      <x:c r="C32" s="454"/>
      <x:c r="D32" s="453"/>
      <x:c r="E32" s="453"/>
      <x:c r="F32" s="453"/>
      <x:c r="G32" s="453"/>
      <x:c r="H32" s="579"/>
      <x:c r="I32" s="579"/>
      <x:c r="J32" s="579"/>
      <x:c r="K32" s="579"/>
      <x:c r="L32" s="579"/>
      <x:c r="M32" s="579"/>
      <x:c r="N32" s="579"/>
    </x:row>
    <x:row r="33" ht="34.29999923706055" customHeight="1">
      <x:c r="A33" s="4"/>
      <x:c r="B33" s="5"/>
      <x:c r="C33" s="621" t="s">
        <x:v>1222</x:v>
      </x:c>
      <x:c r="D33" s="453"/>
      <x:c r="E33" s="453"/>
      <x:c r="F33" s="453"/>
      <x:c r="G33" s="453"/>
      <x:c r="H33" s="579"/>
      <x:c r="I33" s="579"/>
      <x:c r="J33" s="579"/>
      <x:c r="K33" s="579"/>
      <x:c r="L33" s="579"/>
      <x:c r="M33" s="579"/>
      <x:c r="N33" s="579"/>
    </x:row>
    <x:row r="34" ht="9" customHeight="1">
      <x:c r="A34" s="4"/>
      <x:c r="B34" s="5"/>
      <x:c r="C34" s="454"/>
      <x:c r="D34" s="453"/>
      <x:c r="E34" s="453"/>
      <x:c r="F34" s="453"/>
      <x:c r="G34" s="453"/>
      <x:c r="H34" s="579"/>
      <x:c r="I34" s="579"/>
      <x:c r="J34" s="579"/>
      <x:c r="K34" s="579"/>
      <x:c r="L34" s="579"/>
      <x:c r="M34" s="579"/>
      <x:c r="N34" s="579"/>
    </x:row>
    <x:row r="35" ht="34.29999923706055" customHeight="1">
      <x:c r="A35" s="4"/>
      <x:c r="B35" s="5"/>
      <x:c r="C35" s="621" t="s">
        <x:v>1223</x:v>
      </x:c>
      <x:c r="D35" s="453"/>
      <x:c r="E35" s="453"/>
      <x:c r="F35" s="453"/>
      <x:c r="G35" s="453"/>
      <x:c r="H35" s="579"/>
      <x:c r="I35" s="579"/>
      <x:c r="J35" s="579"/>
      <x:c r="K35" s="579"/>
      <x:c r="L35" s="579"/>
      <x:c r="M35" s="579"/>
      <x:c r="N35" s="579"/>
    </x:row>
    <x:row r="36" ht="9" customHeight="1">
      <x:c r="A36" s="4"/>
      <x:c r="B36" s="5"/>
      <x:c r="C36" s="454"/>
      <x:c r="D36" s="453"/>
      <x:c r="E36" s="453"/>
      <x:c r="F36" s="453"/>
      <x:c r="G36" s="453"/>
      <x:c r="H36" s="579"/>
      <x:c r="I36" s="579"/>
      <x:c r="J36" s="579"/>
      <x:c r="K36" s="579"/>
      <x:c r="L36" s="579"/>
      <x:c r="M36" s="579"/>
      <x:c r="N36" s="579"/>
    </x:row>
    <x:row r="37" ht="22.200000762939453" customHeight="1">
      <x:c r="A37" s="7"/>
      <x:c r="B37" s="8"/>
      <x:c r="C37" s="621" t="s">
        <x:v>1224</x:v>
      </x:c>
      <x:c r="D37" s="453"/>
      <x:c r="E37" s="453"/>
      <x:c r="F37" s="453"/>
      <x:c r="G37" s="453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11  |  MARKET SIZE &amp; COMPETITIVE SUPPLY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do MW inventories, vacancy and pipelines actually describe?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Do not combine non-comparable CBRE, JLL and developer pipeline measurements.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28" customHeight="1">
      <x:c r="P210" s="594" t="str">
        <x:v>MEASURE / INVESTMENT QUESTION</x:v>
      </x:c>
      <x:c r="Q210" s="414" t="str">
        <x:v>VALUE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Northern Virginia | operating MW</x:v>
      </x:c>
      <x:c r="Q211" s="1115" t="n">
        <x:f>D7</x:f>
        <x:v>4496.5</x:v>
      </x:c>
      <x:c r="R211" s="599" t="str">
        <x:v>Market tab</x:v>
      </x:c>
      <x:c r="S211" s="599" t="str">
        <x:v>Available 10.8 MW; vacancy 0.2%.</x:v>
      </x:c>
    </x:row>
    <x:row r="212" ht="17.110000610351562" hidden="0" customHeight="1">
      <x:c r="P212" s="509" t="str">
        <x:v>Silicon Valley | operating MW</x:v>
      </x:c>
      <x:c r="Q212" s="1116" t="n">
        <x:f>D8</x:f>
        <x:v>509.2</x:v>
      </x:c>
      <x:c r="R212" s="510" t="str">
        <x:v>Market tab</x:v>
      </x:c>
      <x:c r="S212" s="510" t="str">
        <x:v>Available 21.2 MW; vacancy 4.2%.</x:v>
      </x:c>
    </x:row>
    <x:row r="213" ht="17.110000610351562" hidden="0" customHeight="1">
      <x:c r="P213" s="597" t="str">
        <x:v>Phoenix | operating MW</x:v>
      </x:c>
      <x:c r="Q213" s="1115" t="n">
        <x:f>D9</x:f>
        <x:v>1069.2</x:v>
      </x:c>
      <x:c r="R213" s="599" t="str">
        <x:v>Market tab</x:v>
      </x:c>
      <x:c r="S213" s="599" t="str">
        <x:v>Available 12.1 MW; vacancy 1.1%.</x:v>
      </x:c>
    </x:row>
    <x:row r="214" ht="17.110000610351562" hidden="0" customHeight="1">
      <x:c r="P214" s="509" t="str">
        <x:v>CBRE primary-market operating supply</x:v>
      </x:c>
      <x:c r="Q214" s="1116" t="n">
        <x:f>D15</x:f>
        <x:v>10903</x:v>
      </x:c>
      <x:c r="R214" s="510" t="str">
        <x:v>Market tab</x:v>
      </x:c>
      <x:c r="S214" s="510" t="str">
        <x:v>Eight primary-market wholesale universe</x:v>
      </x:c>
    </x:row>
    <x:row r="215" ht="17.110000610351562" hidden="0" customHeight="1">
      <x:c r="P215" s="597" t="str">
        <x:v>CBRE primary-market construction</x:v>
      </x:c>
      <x:c r="Q215" s="1115" t="n">
        <x:f>D16</x:f>
        <x:v>7481.1</x:v>
      </x:c>
      <x:c r="R215" s="599" t="str">
        <x:v>Market tab</x:v>
      </x:c>
      <x:c r="S215" s="599" t="str">
        <x:v>Pipeline, not operating inventory</x:v>
      </x:c>
    </x:row>
    <x:row r="216" ht="17.110000610351562" hidden="0" customHeight="1">
      <x:c r="P216" s="509" t="str">
        <x:v>CBRE construction preleased</x:v>
      </x:c>
      <x:c r="Q216" s="611" t="n">
        <x:f>D17</x:f>
        <x:v>0.804</x:v>
      </x:c>
      <x:c r="R216" s="510" t="str">
        <x:v>Market tab</x:v>
      </x:c>
      <x:c r="S216" s="510" t="str">
        <x:v>Not proof of tenant solvency or power delivery</x:v>
      </x:c>
    </x:row>
    <x:row r="217" ht="17.110000610351562" hidden="0" customHeight="1">
      <x:c r="P217" s="597" t="str">
        <x:v>JLL North America construction</x:v>
      </x:c>
      <x:c r="Q217" s="1117" t="n">
        <x:f>D18</x:f>
        <x:v>66000</x:v>
      </x:c>
      <x:c r="R217" s="599" t="str">
        <x:v>Market tab</x:v>
      </x:c>
      <x:c r="S217" s="599" t="str">
        <x:v>Lower-bound transcription of &gt;66 GW; coverage differs</x:v>
      </x:c>
    </x:row>
    <x:row r="218" ht="17.110000610351562" hidden="0" customHeight="1">
      <x:c r="P218" s="509" t="str">
        <x:v>Case / Silicon Valley inventory</x:v>
      </x:c>
      <x:c r="Q218" s="611" t="n">
        <x:f>D26</x:f>
        <x:v>0.019638648860958365</x:v>
      </x:c>
      <x:c r="R218" s="510" t="str">
        <x:v>Market tab</x:v>
      </x:c>
      <x:c r="S218" s="510" t="str">
        <x:v>Scale context, not a leasing probability</x:v>
      </x:c>
    </x:row>
    <x:row r="219" ht="17.110000610351562" hidden="0" customHeight="1">
      <x:c r="P219" s="597" t="str">
        <x:v>Case / published available MW</x:v>
      </x:c>
      <x:c r="Q219" s="672" t="n">
        <x:f>D27</x:f>
        <x:v>0.4716981132075472</x:v>
      </x:c>
      <x:c r="R219" s="599" t="str">
        <x:v>Market tab</x:v>
      </x:c>
      <x:c r="S219" s="599" t="str">
        <x:v>Published availability may not form one usable 10 MW block</x:v>
      </x:c>
    </x:row>
    <x:row r="220" ht="17.110000610351562" hidden="0" customHeight="1">
      <x:c r="P220" s="509" t="str">
        <x:v>Silicon Valley construction</x:v>
      </x:c>
      <x:c r="Q220" s="1116" t="n">
        <x:f>D28</x:f>
        <x:v>144</x:v>
      </x:c>
      <x:c r="R220" s="510" t="str">
        <x:v>Market tab</x:v>
      </x:c>
      <x:c r="S220" s="510" t="str">
        <x:v>Do not label every under-construction MW as available</x:v>
      </x:c>
    </x:row>
    <x:row r="221" ht="17.110000610351562" hidden="0" customHeight="1">
      <x:c r="P221" s="597" t="str">
        <x:v>Silicon Valley H1 net absorption</x:v>
      </x:c>
      <x:c r="Q221" s="1115" t="n">
        <x:f>D29</x:f>
        <x:v>22</x:v>
      </x:c>
      <x:c r="R221" s="599" t="str">
        <x:v>Market tab</x:v>
      </x:c>
      <x:c r="S221" s="599" t="str">
        <x:v>Do not silently call this an annual rate</x:v>
      </x:c>
    </x:row>
    <x:row r="222" ht="2" customHeight="1">
      <x:c r="P222" s="509"/>
      <x:c r="Q222" s="510"/>
      <x:c r="R222" s="510"/>
      <x:c r="S222" s="510"/>
    </x:row>
    <x:row r="223" ht="2" customHeight="1">
      <x:c r="P223" s="509"/>
      <x:c r="Q223" s="510"/>
      <x:c r="R223" s="510"/>
      <x:c r="S223" s="510"/>
    </x:row>
    <x:row r="224" ht="2" customHeight="1">
      <x:c r="P224" s="509"/>
      <x:c r="Q224" s="510"/>
      <x:c r="R224" s="510"/>
      <x:c r="S224" s="510"/>
    </x:row>
    <x:row r="225" ht="2" customHeight="1">
      <x:c r="P225" s="509"/>
      <x:c r="Q225" s="510"/>
      <x:c r="R225" s="510"/>
      <x:c r="S225" s="510"/>
    </x:row>
    <x:row r="226" ht="2" customHeight="1">
      <x:c r="P226" s="509"/>
      <x:c r="Q226" s="510"/>
      <x:c r="R226" s="510"/>
      <x:c r="S226" s="510"/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24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7:G37"/>
    <x:mergeCell ref="C20:G20"/>
    <x:mergeCell ref="C23:G23"/>
    <x:mergeCell ref="C31:G31"/>
    <x:mergeCell ref="C33:G33"/>
    <x:mergeCell ref="C35:G35"/>
    <x:mergeCell ref="C3:G3"/>
    <x:mergeCell ref="C4:G4"/>
    <x:mergeCell ref="C5:G5"/>
    <x:mergeCell ref="C11:G11"/>
    <x:mergeCell ref="C13:G13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5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1225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1226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1227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1228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1229</x:v>
      </x:c>
      <x:c r="D12" s="1023" t="n">
        <x:f>Market!D7</x:f>
        <x:v>4496.5</x:v>
      </x:c>
      <x:c r="E12" s="450" t="str">
        <x:v>Market tab</x:v>
      </x:c>
      <x:c r="F12" s="450" t="s">
        <x:v>1230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1231</x:v>
      </x:c>
      <x:c r="D13" s="1024" t="n">
        <x:f>Market!E7</x:f>
        <x:v>10.8</x:v>
      </x:c>
      <x:c r="E13" s="453" t="str">
        <x:v>Market tab</x:v>
      </x:c>
      <x:c r="F13" s="453" t="s">
        <x:v>1232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1233</x:v>
      </x:c>
      <x:c r="D14" s="1023" t="n">
        <x:f>Market!D8</x:f>
        <x:v>509.2</x:v>
      </x:c>
      <x:c r="E14" s="450" t="str">
        <x:v>Market tab</x:v>
      </x:c>
      <x:c r="F14" s="450" t="s">
        <x:v>1234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1235</x:v>
      </x:c>
      <x:c r="D15" s="1024" t="n">
        <x:f>Market!E8</x:f>
        <x:v>21.2</x:v>
      </x:c>
      <x:c r="E15" s="453" t="str">
        <x:v>Market tab</x:v>
      </x:c>
      <x:c r="F15" s="453" t="s">
        <x:v>1236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1237</x:v>
      </x:c>
      <x:c r="D16" s="1023" t="n">
        <x:f>Market!D9</x:f>
        <x:v>1069.2</x:v>
      </x:c>
      <x:c r="E16" s="450" t="str">
        <x:v>Market tab</x:v>
      </x:c>
      <x:c r="F16" s="450" t="s">
        <x:v>1238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1239</x:v>
      </x:c>
      <x:c r="D17" s="1024" t="n">
        <x:f>Market!E9</x:f>
        <x:v>12.1</x:v>
      </x:c>
      <x:c r="E17" s="453" t="str">
        <x:v>Market tab</x:v>
      </x:c>
      <x:c r="F17" s="453" t="s">
        <x:v>1240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5" customHeight="1">
      <x:c r="A18" s="4"/>
      <x:c r="B18" s="5"/>
      <x:c r="C18" s="641" t="s">
        <x:v>1241</x:v>
      </x:c>
      <x:c r="D18" s="977"/>
      <x:c r="E18" s="642"/>
      <x:c r="F18" s="642"/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1242</x:v>
      </x:c>
      <x:c r="D19" s="1024" t="n">
        <x:f>Market!D15</x:f>
        <x:v>10903</x:v>
      </x:c>
      <x:c r="E19" s="453" t="str">
        <x:v>Market tab</x:v>
      </x:c>
      <x:c r="F19" s="453" t="s">
        <x:v>1243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1198</x:v>
      </x:c>
      <x:c r="D20" s="1023" t="n">
        <x:f>Market!D16</x:f>
        <x:v>7481.1</x:v>
      </x:c>
      <x:c r="E20" s="450" t="str">
        <x:v>Market tab</x:v>
      </x:c>
      <x:c r="F20" s="450" t="s">
        <x:v>1244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1245</x:v>
      </x:c>
      <x:c r="D21" s="468" t="n">
        <x:f>Market!D17</x:f>
        <x:v>0.804</x:v>
      </x:c>
      <x:c r="E21" s="453" t="str">
        <x:v>Market tab</x:v>
      </x:c>
      <x:c r="F21" s="453" t="s">
        <x:v>1246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1202</x:v>
      </x:c>
      <x:c r="D22" s="1155" t="n">
        <x:f>Market!D18/1000</x:f>
        <x:v>66</x:v>
      </x:c>
      <x:c r="E22" s="450" t="str">
        <x:v>Market tab</x:v>
      </x:c>
      <x:c r="F22" s="450" t="s">
        <x:v>1247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5" customHeight="1">
      <x:c r="A23" s="4"/>
      <x:c r="B23" s="5"/>
      <x:c r="C23" s="641" t="s">
        <x:v>1248</x:v>
      </x:c>
      <x:c r="D23" s="977"/>
      <x:c r="E23" s="642"/>
      <x:c r="F23" s="642"/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1249</x:v>
      </x:c>
      <x:c r="D24" s="472" t="n">
        <x:f>Market!D26</x:f>
        <x:v>0.019638648860958365</x:v>
      </x:c>
      <x:c r="E24" s="450" t="str">
        <x:v>Market tab</x:v>
      </x:c>
      <x:c r="F24" s="450" t="s">
        <x:v>1250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1251</x:v>
      </x:c>
      <x:c r="D25" s="468" t="n">
        <x:f>Market!D27</x:f>
        <x:v>0.4716981132075472</x:v>
      </x:c>
      <x:c r="E25" s="453" t="str">
        <x:v>Market tab</x:v>
      </x:c>
      <x:c r="F25" s="453" t="s">
        <x:v>1252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1253</x:v>
      </x:c>
      <x:c r="D26" s="1023" t="n">
        <x:f>Market!D28</x:f>
        <x:v>144</x:v>
      </x:c>
      <x:c r="E26" s="450" t="str">
        <x:v>Market tab</x:v>
      </x:c>
      <x:c r="F26" s="450" t="s">
        <x:v>1254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1255</x:v>
      </x:c>
      <x:c r="D27" s="1024" t="n">
        <x:f>Market!D29</x:f>
        <x:v>22</x:v>
      </x:c>
      <x:c r="E27" s="453" t="str">
        <x:v>Market tab</x:v>
      </x:c>
      <x:c r="F27" s="453" t="s">
        <x:v>1256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1257</x:v>
      </x:c>
      <x:c r="D28" s="980" t="s">
        <x:v>227</x:v>
      </x:c>
      <x:c r="E28" s="450" t="str">
        <x:v>MISSING</x:v>
      </x:c>
      <x:c r="F28" s="450" t="s">
        <x:v>1258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979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22.200000762939453" customHeight="1">
      <x:c r="A30" s="7"/>
      <x:c r="B30" s="8"/>
      <x:c r="C30" s="621" t="s">
        <x:v>233</x:v>
      </x:c>
      <x:c r="D30" s="979"/>
      <x:c r="E30" s="453"/>
      <x:c r="F30" s="453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11  |  MARKET SIZE &amp; COMPETITIVE SUPPLY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do MW inventories, vacancy and pipelines actually describe?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Do not combine non-comparable CBRE, JLL and developer pipeline measurements.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28" customHeight="1">
      <x:c r="P210" s="594" t="str">
        <x:v>MEASURE / INVESTMENT QUESTION</x:v>
      </x:c>
      <x:c r="Q210" s="414" t="str">
        <x:v>VALUE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THREE CBRE MARKETS | H1 2026 SNAPSHOT</x:v>
      </x:c>
      <x:c r="Q211" s="1047"/>
      <x:c r="R211" s="685" t="str"/>
      <x:c r="S211" s="685" t="str"/>
    </x:row>
    <x:row r="212" ht="17.110000610351562" hidden="0" customHeight="1">
      <x:c r="P212" s="509" t="str">
        <x:v>Northern Virginia inventory</x:v>
      </x:c>
      <x:c r="Q212" s="1116" t="n">
        <x:f>E11_Market!D12</x:f>
        <x:v>4496.5</x:v>
      </x:c>
      <x:c r="R212" s="510" t="str">
        <x:v>Market tab</x:v>
      </x:c>
      <x:c r="S212" s="510" t="str">
        <x:v>Market inventory, NOT vacant or new capacity.</x:v>
      </x:c>
    </x:row>
    <x:row r="213" ht="17.110000610351562" hidden="0" customHeight="1">
      <x:c r="P213" s="597" t="str">
        <x:v>Northern Virginia available MW</x:v>
      </x:c>
      <x:c r="Q213" s="1115" t="n">
        <x:f>E11_Market!D13</x:f>
        <x:v>10.8</x:v>
      </x:c>
      <x:c r="R213" s="599" t="str">
        <x:v>Market tab</x:v>
      </x:c>
      <x:c r="S213" s="599" t="str">
        <x:v>Within publisher's market scope.</x:v>
      </x:c>
    </x:row>
    <x:row r="214" ht="17.110000610351562" hidden="0" customHeight="1">
      <x:c r="P214" s="509" t="str">
        <x:v>Silicon Valley inventory</x:v>
      </x:c>
      <x:c r="Q214" s="1116" t="n">
        <x:f>E11_Market!D14</x:f>
        <x:v>509.2</x:v>
      </x:c>
      <x:c r="R214" s="510" t="str">
        <x:v>Market tab</x:v>
      </x:c>
      <x:c r="S214" s="510" t="str">
        <x:v>Geography ≠ just City of Santa Clara.</x:v>
      </x:c>
    </x:row>
    <x:row r="215" ht="17.110000610351562" hidden="0" customHeight="1">
      <x:c r="P215" s="597" t="str">
        <x:v>Silicon Valley available MW</x:v>
      </x:c>
      <x:c r="Q215" s="1115" t="n">
        <x:f>E11_Market!D15</x:f>
        <x:v>21.2</x:v>
      </x:c>
      <x:c r="R215" s="599" t="str">
        <x:v>Market tab</x:v>
      </x:c>
      <x:c r="S215" s="599" t="str">
        <x:v>Different from construction MW.</x:v>
      </x:c>
    </x:row>
    <x:row r="216" ht="17.110000610351562" hidden="0" customHeight="1">
      <x:c r="P216" s="509" t="str">
        <x:v>Phoenix inventory</x:v>
      </x:c>
      <x:c r="Q216" s="1116" t="n">
        <x:f>E11_Market!D16</x:f>
        <x:v>1069.2</x:v>
      </x:c>
      <x:c r="R216" s="510" t="str">
        <x:v>Market tab</x:v>
      </x:c>
      <x:c r="S216" s="510" t="str">
        <x:v>Compare date and definitions.</x:v>
      </x:c>
    </x:row>
    <x:row r="217" ht="17.110000610351562" hidden="0" customHeight="1">
      <x:c r="P217" s="597" t="str">
        <x:v>Phoenix available MW</x:v>
      </x:c>
      <x:c r="Q217" s="1115" t="n">
        <x:f>E11_Market!D17</x:f>
        <x:v>12.1</x:v>
      </x:c>
      <x:c r="R217" s="599" t="str">
        <x:v>Market tab</x:v>
      </x:c>
      <x:c r="S217" s="599" t="str">
        <x:v>Do not interpret as actual project demand.</x:v>
      </x:c>
    </x:row>
    <x:row r="218" ht="16" hidden="0" customHeight="1">
      <x:c r="P218" s="684" t="str">
        <x:v>NATIONAL CAPACITY | DIFFERENT REPORTING UNIVERSES</x:v>
      </x:c>
      <x:c r="Q218" s="1047"/>
      <x:c r="R218" s="685" t="str"/>
      <x:c r="S218" s="685" t="str"/>
    </x:row>
    <x:row r="219" ht="17.110000610351562" hidden="0" customHeight="1">
      <x:c r="P219" s="597" t="str">
        <x:v>CBRE primary-market existing supply</x:v>
      </x:c>
      <x:c r="Q219" s="1115" t="n">
        <x:f>E11_Market!D19</x:f>
        <x:v>10903</x:v>
      </x:c>
      <x:c r="R219" s="599" t="str">
        <x:v>Market tab</x:v>
      </x:c>
      <x:c r="S219" s="599" t="str">
        <x:v>Existing supply in CBRE-defined primary markets.</x:v>
      </x:c>
    </x:row>
    <x:row r="220" ht="17.110000610351562" hidden="0" customHeight="1">
      <x:c r="P220" s="509" t="str">
        <x:v>CBRE primary-market construction</x:v>
      </x:c>
      <x:c r="Q220" s="1116" t="n">
        <x:f>E11_Market!D20</x:f>
        <x:v>7481.1</x:v>
      </x:c>
      <x:c r="R220" s="510" t="str">
        <x:v>Market tab</x:v>
      </x:c>
      <x:c r="S220" s="510" t="str">
        <x:v>Pipeline under construction, not operating.</x:v>
      </x:c>
    </x:row>
    <x:row r="221" ht="17.110000610351562" hidden="0" customHeight="1">
      <x:c r="P221" s="597" t="str">
        <x:v>CBRE primary-market preleasing</x:v>
      </x:c>
      <x:c r="Q221" s="672" t="n">
        <x:f>E11_Market!D21</x:f>
        <x:v>0.804</x:v>
      </x:c>
      <x:c r="R221" s="599" t="str">
        <x:v>Market tab</x:v>
      </x:c>
      <x:c r="S221" s="599" t="str">
        <x:v>Share within reported construction universe.</x:v>
      </x:c>
    </x:row>
    <x:row r="222" ht="17.110000610351562" hidden="0" customHeight="1">
      <x:c r="P222" s="509" t="str">
        <x:v>JLL North America construction</x:v>
      </x:c>
      <x:c r="Q222" s="1157" t="n">
        <x:f>E11_Market!D22</x:f>
        <x:v>66</x:v>
      </x:c>
      <x:c r="R222" s="510" t="str">
        <x:v>Market tab</x:v>
      </x:c>
      <x:c r="S222" s="510" t="str">
        <x:v>Different source coverage; not additive.</x:v>
      </x:c>
    </x:row>
    <x:row r="223" ht="16" hidden="0" customHeight="1">
      <x:c r="P223" s="684" t="str">
        <x:v>SILICON VALLEY INVESTOR SCREEN</x:v>
      </x:c>
      <x:c r="Q223" s="1047"/>
      <x:c r="R223" s="685" t="str"/>
      <x:c r="S223" s="685" t="str"/>
    </x:row>
    <x:row r="224" ht="17.110000610351562" hidden="0" customHeight="1">
      <x:c r="P224" s="509" t="str">
        <x:v>Case / SV existing inventory</x:v>
      </x:c>
      <x:c r="Q224" s="611" t="n">
        <x:f>E11_Market!D24</x:f>
        <x:v>0.019638648860958365</x:v>
      </x:c>
      <x:c r="R224" s="510" t="str">
        <x:v>Market tab</x:v>
      </x:c>
      <x:c r="S224" s="510" t="str">
        <x:v>Not a market-share prediction.</x:v>
      </x:c>
    </x:row>
    <x:row r="225" ht="17.110000610351562" hidden="0" customHeight="1">
      <x:c r="P225" s="597" t="str">
        <x:v>Case / SV available MW</x:v>
      </x:c>
      <x:c r="Q225" s="672" t="n">
        <x:f>E11_Market!D25</x:f>
        <x:v>0.4716981132075472</x:v>
      </x:c>
      <x:c r="R225" s="599" t="str">
        <x:v>Market tab</x:v>
      </x:c>
      <x:c r="S225" s="599" t="str">
        <x:v>Availability is fragmented; cannot assume 10 MW block.</x:v>
      </x:c>
    </x:row>
    <x:row r="226" ht="17.110000610351562" hidden="0" customHeight="1">
      <x:c r="P226" s="509" t="str">
        <x:v>SV under construction</x:v>
      </x:c>
      <x:c r="Q226" s="1116" t="n">
        <x:f>E11_Market!D26</x:f>
        <x:v>144</x:v>
      </x:c>
      <x:c r="R226" s="510" t="str">
        <x:v>Market tab</x:v>
      </x:c>
      <x:c r="S226" s="510" t="str">
        <x:v>Commissioning dates matter.</x:v>
      </x:c>
    </x:row>
    <x:row r="227" ht="17.110000610351562" hidden="0" customHeight="1">
      <x:c r="P227" s="597" t="str">
        <x:v>SV recent net absorption</x:v>
      </x:c>
      <x:c r="Q227" s="1115" t="n">
        <x:f>E11_Market!D27</x:f>
        <x:v>22</x:v>
      </x:c>
      <x:c r="R227" s="599" t="str">
        <x:v>Market tab</x:v>
      </x:c>
      <x:c r="S227" s="599" t="str">
        <x:v>Reported over H1 2026.</x:v>
      </x:c>
    </x:row>
    <x:row r="228" ht="17.110000610351562" hidden="0" customHeight="1">
      <x:c r="P228" s="509" t="str">
        <x:v>Property-level competitive screen</x:v>
      </x:c>
      <x:c r="Q228" s="1042" t="str">
        <x:v>REQUIRED</x:v>
      </x:c>
      <x:c r="R228" s="510" t="str">
        <x:v>MISSING</x:v>
      </x:c>
      <x:c r="S228" s="510" t="str">
        <x:v>Requires actual contiguous site/lease comps.</x:v>
      </x:c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25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3:F23"/>
    <x:mergeCell ref="C30:F30"/>
    <x:mergeCell ref="C3:D3"/>
    <x:mergeCell ref="C4:F4"/>
    <x:mergeCell ref="C5:F5"/>
    <x:mergeCell ref="C7:F7"/>
    <x:mergeCell ref="C11:F11"/>
    <x:mergeCell ref="C18:F18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18:S218"/>
    <x:mergeCell ref="P223:S223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6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5" customWidth="1"/>
    <x:col min="5" max="5" width="27.4609375" customWidth="1"/>
    <x:col min="6" max="6" width="62.4609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1259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1260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1261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1262</x:v>
      </x:c>
      <x:c r="D6" s="623" t="s">
        <x:v>1263</x:v>
      </x:c>
      <x:c r="E6" s="623" t="s">
        <x:v>1264</x:v>
      </x:c>
      <x:c r="F6" s="623" t="s">
        <x:v>1265</x:v>
      </x:c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1266</x:v>
      </x:c>
      <x:c r="D7" s="822">
        <x:v>77070</x:v>
      </x:c>
      <x:c r="E7" s="822">
        <x:v>27961.5</x:v>
      </x:c>
      <x:c r="F7" s="453" t="s">
        <x:v>1267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1268</x:v>
      </x:c>
      <x:c r="D8" s="823">
        <x:v>72046</x:v>
      </x:c>
      <x:c r="E8" s="823">
        <x:v>17621</x:v>
      </x:c>
      <x:c r="F8" s="450" t="s">
        <x:v>1269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644" t="s">
        <x:v>1270</x:v>
      </x:c>
      <x:c r="D9" s="107">
        <x:v>5024</x:v>
      </x:c>
      <x:c r="E9" s="107">
        <x:v>10340.5</x:v>
      </x:c>
      <x:c r="F9" s="645" t="s">
        <x:v>1271</x:v>
      </x:c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644" t="s">
        <x:v>1272</x:v>
      </x:c>
      <x:c r="D10" s="36" t="n">
        <x:f>D7/D9</x:f>
        <x:v>15.340366242038217</x:v>
      </x:c>
      <x:c r="E10" s="36" t="n">
        <x:f>E7/E9</x:f>
        <x:v>2.704076205212514</x:v>
      </x:c>
      <x:c r="F10" s="645" t="s">
        <x:v>1273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35.599998474121094" customHeight="1">
      <x:c r="A11" s="4"/>
      <x:c r="B11" s="5"/>
      <x:c r="C11" s="454" t="s">
        <x:v>1274</x:v>
      </x:c>
      <x:c r="D11" s="822">
        <x:v>584</x:v>
      </x:c>
      <x:c r="E11" s="453">
        <x:v>114.9</x:v>
      </x:c>
      <x:c r="F11" s="453" t="inlineStr">
        <x:is>
          <x:t xml:space="preserve">Nebius current operating-lease liability; Note 8, Exhibit 99.2, June 30 2026</x:t>
        </x:is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1275</x:v>
      </x:c>
      <x:c r="D12" s="823">
        <x:v>15735</x:v>
      </x:c>
      <x:c r="E12" s="823">
        <x:v>1510.4</x:v>
      </x:c>
      <x:c r="F12" s="450" t="inlineStr">
        <x:is>
          <x:t xml:space="preserve">Nebius non-current operating-lease liability; Note 8</x:t>
        </x:is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644" t="s">
        <x:v>1276</x:v>
      </x:c>
      <x:c r="D13" s="107" t="n">
        <x:f>SUM(D11:D12)</x:f>
        <x:v>16319</x:v>
      </x:c>
      <x:c r="E13" s="645">
        <x:v>1625.3</x:v>
      </x:c>
      <x:c r="F13" s="645" t="inlineStr">
        <x:is>
          <x:t xml:space="preserve">Current + non-current: a comparable disclosed lease liability total</x:t>
        </x:is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35.599998474121094" customHeight="1">
      <x:c r="A14" s="4"/>
      <x:c r="B14" s="5"/>
      <x:c r="C14" s="451" t="s">
        <x:v>1277</x:v>
      </x:c>
      <x:c r="D14" s="823">
        <x:v>35500</x:v>
      </x:c>
      <x:c r="E14" s="450">
        <x:v>12054.1</x:v>
      </x:c>
      <x:c r="F14" s="450" t="inlineStr">
        <x:is>
          <x:t xml:space="preserve">Estimated future undiscounted payments for leases not commenced</x:t>
        </x:is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9" customHeight="1">
      <x:c r="A15" s="4"/>
      <x:c r="B15" s="5"/>
      <x:c r="C15" s="454"/>
      <x:c r="D15" s="453"/>
      <x:c r="E15" s="453"/>
      <x:c r="F15" s="453"/>
      <x:c r="G15" s="579"/>
      <x:c r="H15" s="579"/>
      <x:c r="I15" s="579"/>
      <x:c r="J15" s="579"/>
      <x:c r="K15" s="579"/>
      <x:c r="L15" s="579"/>
      <x:c r="M15" s="579"/>
      <x:c r="N15" s="579"/>
    </x:row>
    <x:row r="16" ht="34.29999923706055" customHeight="1">
      <x:c r="A16" s="4"/>
      <x:c r="B16" s="5"/>
      <x:c r="C16" s="621" t="inlineStr">
        <x:is>
          <x:t xml:space="preserve">LIKE-FOR-LIKE LEASE COMPARISON | Nebius: current $114.9m + non-current $1,510.4m = total $1,625.3m (June 2026, Note 8)</x:t>
        </x:is>
      </x:c>
      <x:c r="D16" s="453"/>
      <x:c r="E16" s="453"/>
      <x:c r="F16" s="453"/>
      <x:c r="G16" s="579"/>
      <x:c r="H16" s="579"/>
      <x:c r="I16" s="579"/>
      <x:c r="J16" s="579"/>
      <x:c r="K16" s="579"/>
      <x:c r="L16" s="579"/>
      <x:c r="M16" s="579"/>
      <x:c r="N16" s="579"/>
    </x:row>
    <x:row r="17" ht="9" customHeight="1">
      <x:c r="A17" s="4"/>
      <x:c r="B17" s="5"/>
      <x:c r="C17" s="454"/>
      <x:c r="D17" s="453"/>
      <x:c r="E17" s="453"/>
      <x:c r="F17" s="453"/>
      <x:c r="G17" s="579"/>
      <x:c r="H17" s="579"/>
      <x:c r="I17" s="579"/>
      <x:c r="J17" s="579"/>
      <x:c r="K17" s="579"/>
      <x:c r="L17" s="579"/>
      <x:c r="M17" s="579"/>
      <x:c r="N17" s="579"/>
    </x:row>
    <x:row r="18" ht="26.049999237060547" customHeight="1">
      <x:c r="A18" s="4"/>
      <x:c r="B18" s="5"/>
      <x:c r="C18" s="641" t="s">
        <x:v>1278</x:v>
      </x:c>
      <x:c r="D18" s="642"/>
      <x:c r="E18" s="642"/>
      <x:c r="F18" s="642"/>
      <x:c r="G18" s="579"/>
      <x:c r="H18" s="579"/>
      <x:c r="I18" s="579"/>
      <x:c r="J18" s="579"/>
      <x:c r="K18" s="579"/>
      <x:c r="L18" s="579"/>
      <x:c r="M18" s="579"/>
      <x:c r="N18" s="579"/>
    </x:row>
    <x:row r="19" ht="9" customHeight="1">
      <x:c r="A19" s="4"/>
      <x:c r="B19" s="5"/>
      <x:c r="C19" s="454"/>
      <x:c r="D19" s="453"/>
      <x:c r="E19" s="453"/>
      <x:c r="F19" s="453"/>
      <x:c r="G19" s="579"/>
      <x:c r="H19" s="579"/>
      <x:c r="I19" s="579"/>
      <x:c r="J19" s="579"/>
      <x:c r="K19" s="579"/>
      <x:c r="L19" s="579"/>
      <x:c r="M19" s="579"/>
      <x:c r="N19" s="579"/>
    </x:row>
    <x:row r="20" ht="34" customHeight="1">
      <x:c r="A20" s="4"/>
      <x:c r="B20" s="5"/>
      <x:c r="C20" s="622" t="s">
        <x:v>1279</x:v>
      </x:c>
      <x:c r="D20" s="623" t="s">
        <x:v>1280</x:v>
      </x:c>
      <x:c r="E20" s="623" t="s">
        <x:v>1281</x:v>
      </x:c>
      <x:c r="F20" s="623" t="s">
        <x:v>1282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35.599998474121094" customHeight="1">
      <x:c r="A21" s="4"/>
      <x:c r="B21" s="5"/>
      <x:c r="C21" s="454" t="s">
        <x:v>1283</x:v>
      </x:c>
      <x:c r="D21" s="453" t="s">
        <x:v>1284</x:v>
      </x:c>
      <x:c r="E21" s="453" t="s">
        <x:v>1285</x:v>
      </x:c>
      <x:c r="F21" s="453" t="s">
        <x:v>1286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35.599998474121094" customHeight="1">
      <x:c r="A22" s="4"/>
      <x:c r="B22" s="5"/>
      <x:c r="C22" s="451" t="s">
        <x:v>1287</x:v>
      </x:c>
      <x:c r="D22" s="450" t="s">
        <x:v>1288</x:v>
      </x:c>
      <x:c r="E22" s="450" t="s">
        <x:v>1289</x:v>
      </x:c>
      <x:c r="F22" s="450" t="s">
        <x:v>1290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9" customHeight="1">
      <x:c r="A23" s="4"/>
      <x:c r="B23" s="5"/>
      <x:c r="C23" s="454"/>
      <x:c r="D23" s="453"/>
      <x:c r="E23" s="453"/>
      <x:c r="F23" s="453"/>
      <x:c r="G23" s="579"/>
      <x:c r="H23" s="579"/>
      <x:c r="I23" s="579"/>
      <x:c r="J23" s="579"/>
      <x:c r="K23" s="579"/>
      <x:c r="L23" s="579"/>
      <x:c r="M23" s="579"/>
      <x:c r="N23" s="579"/>
    </x:row>
    <x:row r="24" ht="22.200000762939453" customHeight="1">
      <x:c r="A24" s="4"/>
      <x:c r="B24" s="5"/>
      <x:c r="C24" s="621" t="s">
        <x:v>1291</x:v>
      </x:c>
      <x:c r="D24" s="453"/>
      <x:c r="E24" s="453"/>
      <x:c r="F24" s="453"/>
      <x:c r="G24" s="579"/>
      <x:c r="H24" s="579"/>
      <x:c r="I24" s="579"/>
      <x:c r="J24" s="579"/>
      <x:c r="K24" s="579"/>
      <x:c r="L24" s="579"/>
      <x:c r="M24" s="579"/>
      <x:c r="N24" s="579"/>
    </x:row>
    <x:row r="25" ht="9" customHeight="1">
      <x:c r="A25" s="4"/>
      <x:c r="B25" s="5"/>
      <x:c r="C25" s="454"/>
      <x:c r="D25" s="453"/>
      <x:c r="E25" s="453"/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9" customHeight="1">
      <x:c r="A26" s="4"/>
      <x:c r="B26" s="5"/>
      <x:c r="C26" s="454"/>
      <x:c r="D26" s="453"/>
      <x:c r="E26" s="453"/>
      <x:c r="F26" s="453"/>
      <x:c r="G26" s="579"/>
      <x:c r="H26" s="579"/>
      <x:c r="I26" s="579"/>
      <x:c r="J26" s="579"/>
      <x:c r="K26" s="579"/>
      <x:c r="L26" s="579"/>
      <x:c r="M26" s="579"/>
      <x:c r="N26" s="579"/>
    </x:row>
    <x:row r="27" ht="9" customHeight="1">
      <x:c r="A27" s="4"/>
      <x:c r="B27" s="5"/>
      <x:c r="C27" s="454"/>
      <x:c r="D27" s="453"/>
      <x:c r="E27" s="453"/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26.049999237060547" customHeight="1">
      <x:c r="A28" s="4"/>
      <x:c r="B28" s="5"/>
      <x:c r="C28" s="641" t="s">
        <x:v>1292</x:v>
      </x:c>
      <x:c r="D28" s="642"/>
      <x:c r="E28" s="642"/>
      <x:c r="F28" s="642"/>
      <x:c r="G28" s="579"/>
      <x:c r="H28" s="579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453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34" customHeight="1">
      <x:c r="A30" s="4"/>
      <x:c r="B30" s="5"/>
      <x:c r="C30" s="622" t="s">
        <x:v>1293</x:v>
      </x:c>
      <x:c r="D30" s="623" t="s">
        <x:v>1294</x:v>
      </x:c>
      <x:c r="E30" s="623" t="s">
        <x:v>1295</x:v>
      </x:c>
      <x:c r="F30" s="623" t="s">
        <x:v>1296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35.599998474121094" customHeight="1">
      <x:c r="A31" s="4"/>
      <x:c r="B31" s="5"/>
      <x:c r="C31" s="454" t="s">
        <x:v>1297</x:v>
      </x:c>
      <x:c r="D31" s="453" t="s">
        <x:v>1298</x:v>
      </x:c>
      <x:c r="E31" s="453" t="s">
        <x:v>1299</x:v>
      </x:c>
      <x:c r="F31" s="453" t="s">
        <x:v>1300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35.599998474121094" customHeight="1">
      <x:c r="A32" s="4"/>
      <x:c r="B32" s="5"/>
      <x:c r="C32" s="451" t="s">
        <x:v>1301</x:v>
      </x:c>
      <x:c r="D32" s="450" t="s">
        <x:v>1298</x:v>
      </x:c>
      <x:c r="E32" s="450" t="s">
        <x:v>1302</x:v>
      </x:c>
      <x:c r="F32" s="450" t="s">
        <x:v>1303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35.599998474121094" customHeight="1">
      <x:c r="A33" s="4"/>
      <x:c r="B33" s="5"/>
      <x:c r="C33" s="454" t="s">
        <x:v>1304</x:v>
      </x:c>
      <x:c r="D33" s="453" t="s">
        <x:v>1298</x:v>
      </x:c>
      <x:c r="E33" s="453" t="s">
        <x:v>1305</x:v>
      </x:c>
      <x:c r="F33" s="453" t="s">
        <x:v>1306</x:v>
      </x:c>
      <x:c r="G33" s="579"/>
      <x:c r="H33" s="579"/>
      <x:c r="I33" s="579"/>
      <x:c r="J33" s="579"/>
      <x:c r="K33" s="579"/>
      <x:c r="L33" s="579"/>
      <x:c r="M33" s="579"/>
      <x:c r="N33" s="579"/>
    </x:row>
    <x:row r="34" ht="35.599998474121094" customHeight="1">
      <x:c r="A34" s="4"/>
      <x:c r="B34" s="5"/>
      <x:c r="C34" s="451" t="s">
        <x:v>1307</x:v>
      </x:c>
      <x:c r="D34" s="450" t="s">
        <x:v>1298</x:v>
      </x:c>
      <x:c r="E34" s="450" t="s">
        <x:v>1308</x:v>
      </x:c>
      <x:c r="F34" s="450" t="s">
        <x:v>1309</x:v>
      </x:c>
      <x:c r="G34" s="579"/>
      <x:c r="H34" s="579"/>
      <x:c r="I34" s="579"/>
      <x:c r="J34" s="579"/>
      <x:c r="K34" s="579"/>
      <x:c r="L34" s="579"/>
      <x:c r="M34" s="579"/>
      <x:c r="N34" s="579"/>
    </x:row>
    <x:row r="35" ht="35.599998474121094" customHeight="1">
      <x:c r="A35" s="4"/>
      <x:c r="B35" s="5"/>
      <x:c r="C35" s="454" t="s">
        <x:v>1310</x:v>
      </x:c>
      <x:c r="D35" s="453" t="s">
        <x:v>1311</x:v>
      </x:c>
      <x:c r="E35" s="453" t="s">
        <x:v>1312</x:v>
      </x:c>
      <x:c r="F35" s="453" t="s">
        <x:v>1313</x:v>
      </x:c>
      <x:c r="G35" s="579"/>
      <x:c r="H35" s="579"/>
      <x:c r="I35" s="579"/>
      <x:c r="J35" s="579"/>
      <x:c r="K35" s="579"/>
      <x:c r="L35" s="579"/>
      <x:c r="M35" s="579"/>
      <x:c r="N35" s="579"/>
    </x:row>
    <x:row r="36" ht="35.599998474121094" customHeight="1">
      <x:c r="A36" s="4"/>
      <x:c r="B36" s="5"/>
      <x:c r="C36" s="451" t="s">
        <x:v>1314</x:v>
      </x:c>
      <x:c r="D36" s="450" t="s">
        <x:v>1298</x:v>
      </x:c>
      <x:c r="E36" s="450" t="s">
        <x:v>1315</x:v>
      </x:c>
      <x:c r="F36" s="450" t="s">
        <x:v>1316</x:v>
      </x:c>
      <x:c r="G36" s="579"/>
      <x:c r="H36" s="579"/>
      <x:c r="I36" s="579"/>
      <x:c r="J36" s="579"/>
      <x:c r="K36" s="579"/>
      <x:c r="L36" s="579"/>
      <x:c r="M36" s="579"/>
      <x:c r="N36" s="579"/>
    </x:row>
    <x:row r="37" ht="9" customHeight="1">
      <x:c r="A37" s="4"/>
      <x:c r="B37" s="5"/>
      <x:c r="C37" s="454"/>
      <x:c r="D37" s="453"/>
      <x:c r="E37" s="453"/>
      <x:c r="F37" s="453"/>
      <x:c r="G37" s="579"/>
      <x:c r="H37" s="579"/>
      <x:c r="I37" s="579"/>
      <x:c r="J37" s="579"/>
      <x:c r="K37" s="579"/>
      <x:c r="L37" s="579"/>
      <x:c r="M37" s="579"/>
      <x:c r="N37" s="579"/>
    </x:row>
    <x:row r="38" ht="22.200000762939453" customHeight="1">
      <x:c r="A38" s="4"/>
      <x:c r="B38" s="5"/>
      <x:c r="C38" s="621" t="s">
        <x:v>1317</x:v>
      </x:c>
      <x:c r="D38" s="453"/>
      <x:c r="E38" s="453"/>
      <x:c r="F38" s="453"/>
      <x:c r="G38" s="579"/>
      <x:c r="H38" s="579"/>
      <x:c r="I38" s="579"/>
      <x:c r="J38" s="579"/>
      <x:c r="K38" s="579"/>
      <x:c r="L38" s="579"/>
      <x:c r="M38" s="579"/>
      <x:c r="N38" s="579"/>
    </x:row>
    <x:row r="39" ht="9" customHeight="1">
      <x:c r="A39" s="4"/>
      <x:c r="B39" s="5"/>
      <x:c r="C39" s="454"/>
      <x:c r="D39" s="453"/>
      <x:c r="E39" s="453"/>
      <x:c r="F39" s="453"/>
      <x:c r="G39" s="579"/>
      <x:c r="H39" s="579"/>
      <x:c r="I39" s="579"/>
      <x:c r="J39" s="579"/>
      <x:c r="K39" s="579"/>
      <x:c r="L39" s="579"/>
      <x:c r="M39" s="579"/>
      <x:c r="N39" s="579"/>
    </x:row>
    <x:row r="40" ht="22.200000762939453" customHeight="1">
      <x:c r="A40" s="4"/>
      <x:c r="B40" s="5"/>
      <x:c r="C40" s="621" t="inlineStr">
        <x:is>
          <x:t xml:space="preserve">PRIMARY SOURCES | S11 CoreWeave Q2 10-Q; S12 Nebius Q2 6-K Exhibit 99.2 Note 8; S13 Meta arrangement.</x:t>
        </x:is>
      </x:c>
      <x:c r="D40" s="453"/>
      <x:c r="E40" s="453"/>
      <x:c r="F40" s="453"/>
      <x:c r="G40" s="579"/>
      <x:c r="H40" s="579"/>
      <x:c r="I40" s="579"/>
      <x:c r="J40" s="579"/>
      <x:c r="K40" s="579"/>
      <x:c r="L40" s="579"/>
      <x:c r="M40" s="579"/>
      <x:c r="N40" s="579"/>
    </x:row>
    <x:row r="41" ht="9" customHeight="1">
      <x:c r="A41" s="4"/>
      <x:c r="B41" s="5"/>
      <x:c r="C41" s="454"/>
      <x:c r="D41" s="453"/>
      <x:c r="E41" s="453"/>
      <x:c r="F41" s="453"/>
      <x:c r="G41" s="579"/>
      <x:c r="H41" s="579"/>
      <x:c r="I41" s="579"/>
      <x:c r="J41" s="579"/>
      <x:c r="K41" s="579"/>
      <x:c r="L41" s="579"/>
      <x:c r="M41" s="579"/>
      <x:c r="N41" s="579"/>
    </x:row>
    <x:row r="42" ht="22.200000762939453" customHeight="1">
      <x:c r="A42" s="7"/>
      <x:c r="B42" s="8"/>
      <x:c r="C42" s="621" t="s">
        <x:v>1318</x:v>
      </x:c>
      <x:c r="D42" s="453"/>
      <x:c r="E42" s="453"/>
      <x:c r="F42" s="453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12  |  NEOCLOUD TENANT CREDIT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US$ millions except ratios and status; June 2026 reporting snapshot. Issuer data do not establish a particular lease guarantee.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Consolidated issuer leverage is not the same as an enforceable guarantee from the lease obligor.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COREWEAVE / STATUS</x:v>
      </x:c>
      <x:c r="R210" s="414" t="str">
        <x:v>NEBIUS / STATUS</x:v>
      </x:c>
      <x:c r="S210" s="414" t="str">
        <x:v>UNDERWRITING INTERPRETATION</x:v>
      </x:c>
    </x:row>
    <x:row r="211" ht="17.110000610351562" hidden="0" customHeight="1">
      <x:c r="P211" s="597" t="str">
        <x:v>Total assets</x:v>
      </x:c>
      <x:c r="Q211" s="1121" t="n">
        <x:f>D7</x:f>
        <x:v>77070</x:v>
      </x:c>
      <x:c r="R211" s="598" t="n">
        <x:f>E7</x:f>
        <x:v>27961.5</x:v>
      </x:c>
      <x:c r="S211" s="599" t="str">
        <x:v>S11/S12 | Total accounting assets, not realizable collateral</x:v>
      </x:c>
    </x:row>
    <x:row r="212" ht="17.110000610351562" hidden="0" customHeight="1">
      <x:c r="P212" s="509" t="str">
        <x:v>Total liabilities</x:v>
      </x:c>
      <x:c r="Q212" s="1122" t="n">
        <x:f>D8</x:f>
        <x:v>72046</x:v>
      </x:c>
      <x:c r="R212" s="511" t="n">
        <x:f>E8</x:f>
        <x:v>17621</x:v>
      </x:c>
      <x:c r="S212" s="510" t="str">
        <x:v>S11/S12 | Includes liabilities beyond funded debt</x:v>
      </x:c>
    </x:row>
    <x:row r="213" ht="17.110000610351562" hidden="0" customHeight="1">
      <x:c r="P213" s="597" t="str">
        <x:v>Total book equity</x:v>
      </x:c>
      <x:c r="Q213" s="1121" t="n">
        <x:f>D9</x:f>
        <x:v>5024</x:v>
      </x:c>
      <x:c r="R213" s="598" t="n">
        <x:f>E9</x:f>
        <x:v>10340.5</x:v>
      </x:c>
      <x:c r="S213" s="599" t="str">
        <x:v>S11/S12 | Total equity including noncontrolling interests</x:v>
      </x:c>
    </x:row>
    <x:row r="214" ht="17.110000610351562" hidden="0" customHeight="1">
      <x:c r="P214" s="509" t="str">
        <x:v>Assets / equity</x:v>
      </x:c>
      <x:c r="Q214" s="668" t="n">
        <x:f>D10</x:f>
        <x:v>15.340366242038217</x:v>
      </x:c>
      <x:c r="R214" s="721" t="n">
        <x:f>E10</x:f>
        <x:v>2.704076205212514</x:v>
      </x:c>
      <x:c r="S214" s="510" t="str">
        <x:v>Accounting leverage; not debt/equity or default probability.</x:v>
      </x:c>
    </x:row>
    <x:row r="215" ht="30.219999313354492" hidden="0" customHeight="1">
      <x:c r="P215" s="597" t="str">
        <x:v>Operating leases: current</x:v>
      </x:c>
      <x:c r="Q215" s="1121" t="n">
        <x:f>D11</x:f>
        <x:v>584</x:v>
      </x:c>
      <x:c r="R215" s="1255" t="n">
        <x:f>E11</x:f>
        <x:v>114.9</x:v>
      </x:c>
      <x:c r="S215" s="599" t="str">
        <x:v>S12 | Nebius current operating leases: $114.9m, Q2 2026 Note 8.</x:v>
      </x:c>
    </x:row>
    <x:row r="216" ht="17.110000610351562" hidden="0" customHeight="1">
      <x:c r="P216" s="509" t="str">
        <x:v>Operating leases: non-current</x:v>
      </x:c>
      <x:c r="Q216" s="1122" t="n">
        <x:f>D12</x:f>
        <x:v>15735</x:v>
      </x:c>
      <x:c r="R216" s="511" t="n">
        <x:f>E12</x:f>
        <x:v>1510.4</x:v>
      </x:c>
      <x:c r="S216" s="510" t="str">
        <x:v>S11/S12 | Matched non-current comparison</x:v>
      </x:c>
    </x:row>
    <x:row r="217" ht="30.219999313354492" hidden="0" customHeight="1">
      <x:c r="P217" s="597" t="str">
        <x:v>Operating leases: total</x:v>
      </x:c>
      <x:c r="Q217" s="1121" t="n">
        <x:f>D13</x:f>
        <x:v>16319</x:v>
      </x:c>
      <x:c r="R217" s="1255" t="n">
        <x:f>E13</x:f>
        <x:v>1625.3</x:v>
      </x:c>
      <x:c r="S217" s="599" t="str">
        <x:v>Current + non-current reported for both issuers; not rent recourse.</x:v>
      </x:c>
    </x:row>
    <x:row r="218" ht="30.219999313354492" hidden="0" customHeight="1">
      <x:c r="P218" s="509" t="str">
        <x:v>Executed leases not commenced</x:v>
      </x:c>
      <x:c r="Q218" s="1122" t="n">
        <x:f>D14</x:f>
        <x:v>35500</x:v>
      </x:c>
      <x:c r="R218" s="1256" t="n">
        <x:f>E14</x:f>
        <x:v>12054.1</x:v>
      </x:c>
      <x:c r="S218" s="510" t="str">
        <x:v>S12 | $12,054.1m future leases not commenced; undiscounted.</x:v>
      </x:c>
    </x:row>
    <x:row r="219" ht="17.110000610351562" hidden="0" customHeight="1">
      <x:c r="P219" s="597" t="str">
        <x:v>Pipeline share (speaker slide)</x:v>
      </x:c>
      <x:c r="Q219" s="1041" t="str">
        <x:f>"92% leased"</x:f>
        <x:v>92% leased</x:v>
      </x:c>
      <x:c r="R219" s="599" t="str">
        <x:v>70% owned-build</x:v>
      </x:c>
      <x:c r="S219" s="599" t="str">
        <x:v>Nebius 70% owned-build; source is not an audited census.</x:v>
      </x:c>
    </x:row>
    <x:row r="220" ht="17.110000610351562" hidden="0" customHeight="1">
      <x:c r="P220" s="509" t="str">
        <x:v>Legal tenant and parent support</x:v>
      </x:c>
      <x:c r="Q220" s="1042" t="str">
        <x:f>"UNRESOLVED"</x:f>
        <x:v>UNRESOLVED</x:v>
      </x:c>
      <x:c r="R220" s="510" t="str">
        <x:v>UNRESOLVED</x:v>
      </x:c>
      <x:c r="S220" s="510" t="str">
        <x:v>Establish who owes rent and which balance sheet is relevant</x:v>
      </x:c>
    </x:row>
    <x:row r="221" ht="17.110000610351562" hidden="0" customHeight="1">
      <x:c r="P221" s="597" t="str">
        <x:v>Customer cash conversion</x:v>
      </x:c>
      <x:c r="Q221" s="1041" t="str">
        <x:f>"UNRESOLVED"</x:f>
        <x:v>UNRESOLVED</x:v>
      </x:c>
      <x:c r="R221" s="599" t="str">
        <x:v>UNRESOLVED</x:v>
      </x:c>
      <x:c r="S221" s="599" t="str">
        <x:v>Do not equate backlog with cash available for rent</x:v>
      </x:c>
    </x:row>
    <x:row r="222" ht="17.110000610351562" hidden="0" customHeight="1">
      <x:c r="P222" s="509" t="str">
        <x:v>Collateral and priority</x:v>
      </x:c>
      <x:c r="Q222" s="1042" t="str">
        <x:f>"UNRESOLVED"</x:f>
        <x:v>UNRESOLVED</x:v>
      </x:c>
      <x:c r="R222" s="510" t="str">
        <x:v>UNRESOLVED</x:v>
      </x:c>
      <x:c r="S222" s="510" t="str">
        <x:v>Owned facilities may support secured creditors first</x:v>
      </x:c>
    </x:row>
    <x:row r="223" ht="30.219999313354492" hidden="0" customHeight="1">
      <x:c r="P223" s="597" t="str">
        <x:v>Meta unsold-capacity arrangement</x:v>
      </x:c>
      <x:c r="Q223" s="1041" t="str">
        <x:f>"Not a CoreWeave arrangement"</x:f>
        <x:v>Not a CoreWeave arrangement</x:v>
      </x:c>
      <x:c r="R223" s="599" t="str">
        <x:v>PUBLICLY DISCLOSED</x:v>
      </x:c>
      <x:c r="S223" s="599" t="str">
        <x:v>S13 | Nebius commercial arrangement; not a blanket property-lease guarantee.</x:v>
      </x:c>
    </x:row>
    <x:row r="224" ht="2" customHeight="1">
      <x:c r="P224" s="509"/>
      <x:c r="Q224" s="511"/>
      <x:c r="R224" s="510"/>
      <x:c r="S224" s="510"/>
    </x:row>
    <x:row r="225" ht="2" customHeight="1">
      <x:c r="P225" s="509"/>
      <x:c r="Q225" s="511"/>
      <x:c r="R225" s="510"/>
      <x:c r="S225" s="510"/>
    </x:row>
    <x:row r="226" ht="2" customHeight="1">
      <x:c r="P226" s="509"/>
      <x:c r="Q226" s="511"/>
      <x:c r="R226" s="510"/>
      <x:c r="S226" s="510"/>
    </x:row>
    <x:row r="227" ht="2" customHeight="1">
      <x:c r="P227" s="509"/>
      <x:c r="Q227" s="511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26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4:F24"/>
    <x:mergeCell ref="C28:F28"/>
    <x:mergeCell ref="C38:F38"/>
    <x:mergeCell ref="C40:F40"/>
    <x:mergeCell ref="C42:F42"/>
    <x:mergeCell ref="C3:F3"/>
    <x:mergeCell ref="C4:F4"/>
    <x:mergeCell ref="C5:F5"/>
    <x:mergeCell ref="C16:F16"/>
    <x:mergeCell ref="C18:F18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7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1319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1320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1321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1322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1323</x:v>
      </x:c>
      <x:c r="D12" s="1147" t="n">
        <x:f>'Tenant Credit'!D7/1000</x:f>
        <x:v>77.07</x:v>
      </x:c>
      <x:c r="E12" s="450" t="str">
        <x:v>Tenant Credit tab</x:v>
      </x:c>
      <x:c r="F12" s="450" t="s">
        <x:v>1324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1325</x:v>
      </x:c>
      <x:c r="D13" s="1151" t="n">
        <x:f>'Tenant Credit'!E7/1000</x:f>
        <x:v>27.9615</x:v>
      </x:c>
      <x:c r="E13" s="453" t="str">
        <x:v>Tenant Credit tab</x:v>
      </x:c>
      <x:c r="F13" s="453" t="s">
        <x:v>1324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1326</x:v>
      </x:c>
      <x:c r="D14" s="1147" t="n">
        <x:f>'Tenant Credit'!D8/1000</x:f>
        <x:v>72.046</x:v>
      </x:c>
      <x:c r="E14" s="450" t="str">
        <x:v>Tenant Credit tab</x:v>
      </x:c>
      <x:c r="F14" s="450" t="s">
        <x:v>1327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1328</x:v>
      </x:c>
      <x:c r="D15" s="1151" t="n">
        <x:f>'Tenant Credit'!E8/1000</x:f>
        <x:v>17.621</x:v>
      </x:c>
      <x:c r="E15" s="453" t="str">
        <x:v>Tenant Credit tab</x:v>
      </x:c>
      <x:c r="F15" s="453" t="s">
        <x:v>1329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1330</x:v>
      </x:c>
      <x:c r="D16" s="1147" t="n">
        <x:f>'Tenant Credit'!D9/1000</x:f>
        <x:v>5.024</x:v>
      </x:c>
      <x:c r="E16" s="450" t="str">
        <x:v>Tenant Credit tab</x:v>
      </x:c>
      <x:c r="F16" s="450" t="s">
        <x:v>1331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1332</x:v>
      </x:c>
      <x:c r="D17" s="1151" t="n">
        <x:f>'Tenant Credit'!E9/1000</x:f>
        <x:v>10.3405</x:v>
      </x:c>
      <x:c r="E17" s="453" t="str">
        <x:v>Tenant Credit tab</x:v>
      </x:c>
      <x:c r="F17" s="453" t="s">
        <x:v>1333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1334</x:v>
      </x:c>
      <x:c r="D18" s="925" t="n">
        <x:f>'Tenant Credit'!D10</x:f>
        <x:v>15.340366242038217</x:v>
      </x:c>
      <x:c r="E18" s="450" t="str">
        <x:v>Tenant Credit tab</x:v>
      </x:c>
      <x:c r="F18" s="450" t="s">
        <x:v>1335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1336</x:v>
      </x:c>
      <x:c r="D19" s="923" t="n">
        <x:f>'Tenant Credit'!E10</x:f>
        <x:v>2.704076205212514</x:v>
      </x:c>
      <x:c r="E19" s="453" t="str">
        <x:v>Tenant Credit tab</x:v>
      </x:c>
      <x:c r="F19" s="453" t="s">
        <x:v>1337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5" customHeight="1">
      <x:c r="A20" s="4"/>
      <x:c r="B20" s="5"/>
      <x:c r="C20" s="641" t="s">
        <x:v>1338</x:v>
      </x:c>
      <x:c r="D20" s="977"/>
      <x:c r="E20" s="642"/>
      <x:c r="F20" s="642"/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1339</x:v>
      </x:c>
      <x:c r="D21" s="1151" t="n">
        <x:f>'Tenant Credit'!D13/1000</x:f>
        <x:v>16.319</x:v>
      </x:c>
      <x:c r="E21" s="453" t="str">
        <x:v>Tenant Credit tab</x:v>
      </x:c>
      <x:c r="F21" s="453" t="s">
        <x:v>1340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inlineStr">
        <x:is>
          <x:t xml:space="preserve">Nebius total operating leases</x:t>
        </x:is>
      </x:c>
      <x:c r="D22" s="1147" t="n">
        <x:f>'Tenant Credit'!E13/1000</x:f>
        <x:v>1.6253</x:v>
      </x:c>
      <x:c r="E22" s="450" t="str">
        <x:v>Tenant Credit tab</x:v>
      </x:c>
      <x:c r="F22" s="450" t="inlineStr">
        <x:is>
          <x:t xml:space="preserve">Current $114.9m plus non-current $1,510.4m (Note 8).</x:t>
        </x:is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inlineStr">
        <x:is>
          <x:t xml:space="preserve">Nebius leases not yet commenced</x:t>
        </x:is>
      </x:c>
      <x:c r="D23" s="1151" t="n">
        <x:f>'Tenant Credit'!E14/1000</x:f>
        <x:v>12.0541</x:v>
      </x:c>
      <x:c r="E23" s="453" t="str">
        <x:v>Tenant Credit tab</x:v>
      </x:c>
      <x:c r="F23" s="453" t="inlineStr">
        <x:is>
          <x:t xml:space="preserve">Undiscounted future commitments; distinct from existing liabilities.</x:t>
        </x:is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5" customHeight="1">
      <x:c r="A24" s="4"/>
      <x:c r="B24" s="5"/>
      <x:c r="C24" s="641" t="s">
        <x:v>1341</x:v>
      </x:c>
      <x:c r="D24" s="977"/>
      <x:c r="E24" s="642"/>
      <x:c r="F24" s="642"/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1342</x:v>
      </x:c>
      <x:c r="D25" s="979" t="s">
        <x:v>227</x:v>
      </x:c>
      <x:c r="E25" s="453" t="str">
        <x:v>UNRESOLVED</x:v>
      </x:c>
      <x:c r="F25" s="453" t="s">
        <x:v>1343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1344</x:v>
      </x:c>
      <x:c r="D26" s="980" t="s">
        <x:v>227</x:v>
      </x:c>
      <x:c r="E26" s="450" t="str">
        <x:v>UNRESOLVED</x:v>
      </x:c>
      <x:c r="F26" s="450" t="s">
        <x:v>1345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1346</x:v>
      </x:c>
      <x:c r="D27" s="979" t="s">
        <x:v>227</x:v>
      </x:c>
      <x:c r="E27" s="453" t="str">
        <x:v>UNRESOLVED</x:v>
      </x:c>
      <x:c r="F27" s="453" t="s">
        <x:v>1347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1348</x:v>
      </x:c>
      <x:c r="D28" s="980" t="s">
        <x:v>227</x:v>
      </x:c>
      <x:c r="E28" s="450" t="str">
        <x:v>UNRESOLVED</x:v>
      </x:c>
      <x:c r="F28" s="450" t="s">
        <x:v>1349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22.75" customHeight="1">
      <x:c r="A29" s="4"/>
      <x:c r="B29" s="5"/>
      <x:c r="C29" s="454" t="s">
        <x:v>1350</x:v>
      </x:c>
      <x:c r="D29" s="979" t="s">
        <x:v>227</x:v>
      </x:c>
      <x:c r="E29" s="453" t="str">
        <x:v>UNRESOLVED</x:v>
      </x:c>
      <x:c r="F29" s="453" t="s">
        <x:v>1351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9" customHeight="1">
      <x:c r="A30" s="4"/>
      <x:c r="B30" s="5"/>
      <x:c r="C30" s="454"/>
      <x:c r="D30" s="979"/>
      <x:c r="E30" s="453"/>
      <x:c r="F30" s="453"/>
      <x:c r="G30" s="579"/>
      <x:c r="H30" s="579"/>
      <x:c r="I30" s="579"/>
      <x:c r="J30" s="579"/>
      <x:c r="K30" s="579"/>
      <x:c r="L30" s="579"/>
      <x:c r="M30" s="579"/>
      <x:c r="N30" s="579"/>
    </x:row>
    <x:row r="31" ht="22.200000762939453" customHeight="1">
      <x:c r="A31" s="7"/>
      <x:c r="B31" s="8"/>
      <x:c r="C31" s="621" t="s">
        <x:v>233</x:v>
      </x:c>
      <x:c r="D31" s="979"/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12 | COREWEAVE VERSUS NEBIUS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How does a property lender assess CoreWeave versus Nebius?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Consolidated issuer leverage is not the same as an enforceable guarantee from the lease obligor.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28" customHeight="1">
      <x:c r="P210" s="594" t="str">
        <x:v>MEASURE / INVESTMENT QUESTION</x:v>
      </x:c>
      <x:c r="Q210" s="414" t="str">
        <x:v>VALUE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BALANCE-SHEET SNAPSHOT | JUNE 30, 2026</x:v>
      </x:c>
      <x:c r="Q211" s="1047"/>
      <x:c r="R211" s="685" t="str"/>
      <x:c r="S211" s="685" t="str"/>
    </x:row>
    <x:row r="212" ht="17.110000610351562" hidden="0" customHeight="1">
      <x:c r="P212" s="509" t="str">
        <x:v>CoreWeave assets</x:v>
      </x:c>
      <x:c r="Q212" s="1257" t="n">
        <x:f>E12_Tenant_Credit!D12</x:f>
        <x:v>77.07</x:v>
      </x:c>
      <x:c r="R212" s="510" t="str">
        <x:v>Tenant Credit tab</x:v>
      </x:c>
      <x:c r="S212" s="510" t="str">
        <x:v>Issuer consolidated, not project-specific.</x:v>
      </x:c>
    </x:row>
    <x:row r="213" ht="17.110000610351562" hidden="0" customHeight="1">
      <x:c r="P213" s="597" t="str">
        <x:v>Nebius assets</x:v>
      </x:c>
      <x:c r="Q213" s="1258" t="n">
        <x:f>E12_Tenant_Credit!D13</x:f>
        <x:v>27.9615</x:v>
      </x:c>
      <x:c r="R213" s="599" t="str">
        <x:v>Tenant Credit tab</x:v>
      </x:c>
      <x:c r="S213" s="599" t="str">
        <x:v>Issuer consolidated, not project-specific.</x:v>
      </x:c>
    </x:row>
    <x:row r="214" ht="17.110000610351562" hidden="0" customHeight="1">
      <x:c r="P214" s="509" t="str">
        <x:v>CoreWeave total liabilities</x:v>
      </x:c>
      <x:c r="Q214" s="1257" t="n">
        <x:f>E12_Tenant_Credit!D14</x:f>
        <x:v>72.046</x:v>
      </x:c>
      <x:c r="R214" s="510" t="str">
        <x:v>Tenant Credit tab</x:v>
      </x:c>
      <x:c r="S214" s="510" t="str">
        <x:v>Includes more than funded debt.</x:v>
      </x:c>
    </x:row>
    <x:row r="215" ht="17.110000610351562" hidden="0" customHeight="1">
      <x:c r="P215" s="597" t="str">
        <x:v>Nebius total liabilities</x:v>
      </x:c>
      <x:c r="Q215" s="1258" t="n">
        <x:f>E12_Tenant_Credit!D15</x:f>
        <x:v>17.621</x:v>
      </x:c>
      <x:c r="R215" s="599" t="str">
        <x:v>Tenant Credit tab</x:v>
      </x:c>
      <x:c r="S215" s="599" t="str">
        <x:v>Cannot infer creditor priority.</x:v>
      </x:c>
    </x:row>
    <x:row r="216" ht="17.110000610351562" hidden="0" customHeight="1">
      <x:c r="P216" s="509" t="str">
        <x:v>CoreWeave book equity</x:v>
      </x:c>
      <x:c r="Q216" s="1257" t="n">
        <x:f>E12_Tenant_Credit!D16</x:f>
        <x:v>5.024</x:v>
      </x:c>
      <x:c r="R216" s="510" t="str">
        <x:v>Tenant Credit tab</x:v>
      </x:c>
      <x:c r="S216" s="510" t="str">
        <x:v>Book value, not available guarantee cash.</x:v>
      </x:c>
    </x:row>
    <x:row r="217" ht="17.110000610351562" hidden="0" customHeight="1">
      <x:c r="P217" s="597" t="str">
        <x:v>Nebius book equity</x:v>
      </x:c>
      <x:c r="Q217" s="1258" t="n">
        <x:f>E12_Tenant_Credit!D17</x:f>
        <x:v>10.3405</x:v>
      </x:c>
      <x:c r="R217" s="599" t="str">
        <x:v>Tenant Credit tab</x:v>
      </x:c>
      <x:c r="S217" s="599" t="str">
        <x:v>Book value, not liquidation value.</x:v>
      </x:c>
    </x:row>
    <x:row r="218" ht="17.110000610351562" hidden="0" customHeight="1">
      <x:c r="P218" s="509" t="str">
        <x:v>CoreWeave assets / equity</x:v>
      </x:c>
      <x:c r="Q218" s="1214" t="n">
        <x:f>E12_Tenant_Credit!D18</x:f>
        <x:v>15.340366242038217</x:v>
      </x:c>
      <x:c r="R218" s="510" t="str">
        <x:v>Tenant Credit tab</x:v>
      </x:c>
      <x:c r="S218" s="510" t="str">
        <x:v>Accounting leverage, not default likelihood.</x:v>
      </x:c>
    </x:row>
    <x:row r="219" ht="17.110000610351562" hidden="0" customHeight="1">
      <x:c r="P219" s="597" t="str">
        <x:v>Nebius assets / equity</x:v>
      </x:c>
      <x:c r="Q219" s="787" t="n">
        <x:f>E12_Tenant_Credit!D19</x:f>
        <x:v>2.704076205212514</x:v>
      </x:c>
      <x:c r="R219" s="599" t="str">
        <x:v>Tenant Credit tab</x:v>
      </x:c>
      <x:c r="S219" s="599" t="str">
        <x:v>Not funded debt/equity.</x:v>
      </x:c>
    </x:row>
    <x:row r="220" ht="16" hidden="0" customHeight="1">
      <x:c r="P220" s="684" t="str">
        <x:v>LEASE LIABILITIES | DO NOT COMPARE WRONG DENOMINATORS</x:v>
      </x:c>
      <x:c r="Q220" s="1047"/>
      <x:c r="R220" s="685" t="str"/>
      <x:c r="S220" s="685" t="str"/>
    </x:row>
    <x:row r="221" ht="17.110000610351562" hidden="0" customHeight="1">
      <x:c r="P221" s="597" t="str">
        <x:v>CoreWeave total operating leases</x:v>
      </x:c>
      <x:c r="Q221" s="1258" t="n">
        <x:f>E12_Tenant_Credit!D21</x:f>
        <x:v>16.319</x:v>
      </x:c>
      <x:c r="R221" s="599" t="str">
        <x:v>Tenant Credit tab</x:v>
      </x:c>
      <x:c r="S221" s="599" t="str">
        <x:v>Current plus non-current.</x:v>
      </x:c>
    </x:row>
    <x:row r="222" ht="17.110000610351562" hidden="0" customHeight="1">
      <x:c r="P222" s="509" t="str">
        <x:v>Nebius total operating leases</x:v>
      </x:c>
      <x:c r="Q222" s="1257" t="n">
        <x:f>E12_Tenant_Credit!D22</x:f>
        <x:v>1.6253</x:v>
      </x:c>
      <x:c r="R222" s="510" t="str">
        <x:v>Tenant Credit tab</x:v>
      </x:c>
      <x:c r="S222" s="510" t="str">
        <x:v>Current $114.90m + non-current $1,510.40m [6].</x:v>
      </x:c>
    </x:row>
    <x:row r="223" ht="17.110000610351562" hidden="0" customHeight="1">
      <x:c r="P223" s="597" t="str">
        <x:v>Nebius leases not yet commenced</x:v>
      </x:c>
      <x:c r="Q223" s="1258" t="n">
        <x:f>E12_Tenant_Credit!D23</x:f>
        <x:v>12.0541</x:v>
      </x:c>
      <x:c r="R223" s="599" t="str">
        <x:v>Tenant Credit tab</x:v>
      </x:c>
      <x:c r="S223" s="599" t="str">
        <x:v>Future undiscounted commitments; distinct from recognized liabilities.</x:v>
      </x:c>
    </x:row>
    <x:row r="224" ht="16" hidden="0" customHeight="1">
      <x:c r="P224" s="684" t="str">
        <x:v>LANDLORD CREDIT CHECKLIST</x:v>
      </x:c>
      <x:c r="Q224" s="1047"/>
      <x:c r="R224" s="685" t="str"/>
      <x:c r="S224" s="685" t="str"/>
    </x:row>
    <x:row r="225" ht="17.110000610351562" hidden="0" customHeight="1">
      <x:c r="P225" s="597" t="str">
        <x:v>Exact legal tenant entity</x:v>
      </x:c>
      <x:c r="Q225" s="1041" t="str">
        <x:v>REQUIRED</x:v>
      </x:c>
      <x:c r="R225" s="599" t="str">
        <x:v>UNRESOLVED</x:v>
      </x:c>
      <x:c r="S225" s="599" t="str">
        <x:v>Obtain agreement and structure chart.</x:v>
      </x:c>
    </x:row>
    <x:row r="226" ht="17.110000610351562" hidden="0" customHeight="1">
      <x:c r="P226" s="509" t="str">
        <x:v>Executed parent guarantee</x:v>
      </x:c>
      <x:c r="Q226" s="1042" t="str">
        <x:v>REQUIRED</x:v>
      </x:c>
      <x:c r="R226" s="510" t="str">
        <x:v>UNRESOLVED</x:v>
      </x:c>
      <x:c r="S226" s="510" t="str">
        <x:v>Name and terms—not name recognition.</x:v>
      </x:c>
    </x:row>
    <x:row r="227" ht="17.110000610351562" hidden="0" customHeight="1">
      <x:c r="P227" s="597" t="str">
        <x:v>Committed-to-billed-to-cash bridge</x:v>
      </x:c>
      <x:c r="Q227" s="1041" t="str">
        <x:v>REQUIRED</x:v>
      </x:c>
      <x:c r="R227" s="599" t="str">
        <x:v>UNRESOLVED</x:v>
      </x:c>
      <x:c r="S227" s="599" t="str">
        <x:v>Backlog is not rent cash.</x:v>
      </x:c>
    </x:row>
    <x:row r="228" ht="17.110000610351562" hidden="0" customHeight="1">
      <x:c r="P228" s="509" t="str">
        <x:v>Collateral and lien priorities</x:v>
      </x:c>
      <x:c r="Q228" s="1042" t="str">
        <x:v>REQUIRED</x:v>
      </x:c>
      <x:c r="R228" s="510" t="str">
        <x:v>UNRESOLVED</x:v>
      </x:c>
      <x:c r="S228" s="510" t="str">
        <x:v>Owned facilities may be pledged.</x:v>
      </x:c>
    </x:row>
    <x:row r="229" ht="17.110000610351562" hidden="0" customHeight="1">
      <x:c r="P229" s="597" t="str">
        <x:v>Re-leasing recoverable value</x:v>
      </x:c>
      <x:c r="Q229" s="1041" t="str">
        <x:v>REQUIRED</x:v>
      </x:c>
      <x:c r="R229" s="599" t="str">
        <x:v>UNRESOLVED</x:v>
      </x:c>
      <x:c r="S229" s="599" t="str">
        <x:v>Technical fit and payment priority matter.</x:v>
      </x:c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27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4:F24"/>
    <x:mergeCell ref="C31:F31"/>
    <x:mergeCell ref="C3:D3"/>
    <x:mergeCell ref="C4:F4"/>
    <x:mergeCell ref="C5:F5"/>
    <x:mergeCell ref="C7:F7"/>
    <x:mergeCell ref="C11:F11"/>
    <x:mergeCell ref="C20:F20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0:S220"/>
    <x:mergeCell ref="P224:S224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8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37.4609375" customWidth="1"/>
    <x:col min="4" max="4" width="25.61328125" customWidth="1"/>
    <x:col min="5" max="5" width="29.3828125" customWidth="1"/>
    <x:col min="6" max="6" width="58.15234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1352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4.29999923706055" customHeight="1">
      <x:c r="A4" s="4"/>
      <x:c r="B4" s="5"/>
      <x:c r="C4" s="631" t="s">
        <x:v>1353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1354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1355</x:v>
      </x:c>
      <x:c r="D6" s="623" t="s">
        <x:v>1356</x:v>
      </x:c>
      <x:c r="E6" s="623" t="s">
        <x:v>1357</x:v>
      </x:c>
      <x:c r="F6" s="623" t="s">
        <x:v>1358</x:v>
      </x:c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1359</x:v>
      </x:c>
      <x:c r="D7" s="822">
        <x:v>223</x:v>
      </x:c>
      <x:c r="E7" s="822" t="n">
        <x:f>D7/$D$9</x:f>
        <x:v>0.3338323353293413</x:v>
      </x:c>
      <x:c r="F7" s="453" t="s">
        <x:v>1360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1361</x:v>
      </x:c>
      <x:c r="D8" s="823">
        <x:v>445</x:v>
      </x:c>
      <x:c r="E8" s="823" t="n">
        <x:f>D8/$D$9</x:f>
        <x:v>0.6661676646706587</x:v>
      </x:c>
      <x:c r="F8" s="450" t="s">
        <x:v>1362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644" t="s">
        <x:v>1363</x:v>
      </x:c>
      <x:c r="D9" s="107" t="n">
        <x:f>SUM(D7:D8)</x:f>
        <x:v>668</x:v>
      </x:c>
      <x:c r="E9" s="107" t="n">
        <x:f>D9/$D$9</x:f>
        <x:v>1</x:v>
      </x:c>
      <x:c r="F9" s="645" t="s">
        <x:v>1364</x:v>
      </x:c>
      <x:c r="G9" s="579"/>
      <x:c r="H9" s="579"/>
      <x:c r="I9" s="579"/>
      <x:c r="J9" s="579"/>
      <x:c r="K9" s="579"/>
      <x:c r="L9" s="579"/>
      <x:c r="M9" s="579"/>
      <x:c r="N9" s="579"/>
    </x:row>
    <x:row r="10" ht="9" customHeight="1">
      <x:c r="A10" s="4"/>
      <x:c r="B10" s="5"/>
      <x:c r="C10" s="454"/>
      <x:c r="D10" s="453"/>
      <x:c r="E10" s="453"/>
      <x:c r="F10" s="453"/>
      <x:c r="G10" s="579"/>
      <x:c r="H10" s="579"/>
      <x:c r="I10" s="579"/>
      <x:c r="J10" s="579"/>
      <x:c r="K10" s="579"/>
      <x:c r="L10" s="579"/>
      <x:c r="M10" s="579"/>
      <x:c r="N10" s="579"/>
    </x:row>
    <x:row r="11" ht="9" customHeight="1">
      <x:c r="A11" s="4"/>
      <x:c r="B11" s="5"/>
      <x:c r="C11" s="454"/>
      <x:c r="D11" s="453"/>
      <x:c r="E11" s="453"/>
      <x:c r="F11" s="453"/>
      <x:c r="G11" s="579"/>
      <x:c r="H11" s="579"/>
      <x:c r="I11" s="579"/>
      <x:c r="J11" s="579"/>
      <x:c r="K11" s="579"/>
      <x:c r="L11" s="579"/>
      <x:c r="M11" s="579"/>
      <x:c r="N11" s="579"/>
    </x:row>
    <x:row r="12" ht="22.200000762939453" customHeight="1">
      <x:c r="A12" s="4"/>
      <x:c r="B12" s="5"/>
      <x:c r="C12" s="621" t="s">
        <x:v>1365</x:v>
      </x:c>
      <x:c r="D12" s="453"/>
      <x:c r="E12" s="453"/>
      <x:c r="F12" s="453"/>
      <x:c r="G12" s="579"/>
      <x:c r="H12" s="579"/>
      <x:c r="I12" s="579"/>
      <x:c r="J12" s="579"/>
      <x:c r="K12" s="579"/>
      <x:c r="L12" s="579"/>
      <x:c r="M12" s="579"/>
      <x:c r="N12" s="579"/>
    </x:row>
    <x:row r="13" ht="9" customHeight="1">
      <x:c r="A13" s="4"/>
      <x:c r="B13" s="5"/>
      <x:c r="C13" s="454"/>
      <x:c r="D13" s="453"/>
      <x:c r="E13" s="453"/>
      <x:c r="F13" s="453"/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1366</x:v>
      </x:c>
      <x:c r="D14" s="450" t="s">
        <x:v>1367</x:v>
      </x:c>
      <x:c r="E14" s="450" t="s">
        <x:v>1368</x:v>
      </x:c>
      <x:c r="F14" s="450" t="s">
        <x:v>1369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35.599998474121094" customHeight="1">
      <x:c r="A15" s="4"/>
      <x:c r="B15" s="5"/>
      <x:c r="C15" s="454" t="s">
        <x:v>1370</x:v>
      </x:c>
      <x:c r="D15" s="453" t="s">
        <x:v>1371</x:v>
      </x:c>
      <x:c r="E15" s="453" t="s">
        <x:v>1372</x:v>
      </x:c>
      <x:c r="F15" s="453" t="s">
        <x:v>1373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35.599998474121094" customHeight="1">
      <x:c r="A16" s="4"/>
      <x:c r="B16" s="5"/>
      <x:c r="C16" s="451" t="s">
        <x:v>1374</x:v>
      </x:c>
      <x:c r="D16" s="450" t="s">
        <x:v>1371</x:v>
      </x:c>
      <x:c r="E16" s="450" t="s">
        <x:v>1375</x:v>
      </x:c>
      <x:c r="F16" s="450" t="s">
        <x:v>1376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34.29999923706055" customHeight="1">
      <x:c r="A17" s="4"/>
      <x:c r="B17" s="5"/>
      <x:c r="C17" s="622" t="s">
        <x:v>1377</x:v>
      </x:c>
      <x:c r="D17" s="623" t="s">
        <x:v>1371</x:v>
      </x:c>
      <x:c r="E17" s="623" t="s">
        <x:v>1378</x:v>
      </x:c>
      <x:c r="F17" s="623" t="s">
        <x:v>1379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35.599998474121094" customHeight="1">
      <x:c r="A18" s="4"/>
      <x:c r="B18" s="5"/>
      <x:c r="C18" s="451" t="s">
        <x:v>1380</x:v>
      </x:c>
      <x:c r="D18" s="450" t="s">
        <x:v>1381</x:v>
      </x:c>
      <x:c r="E18" s="450" t="s">
        <x:v>1382</x:v>
      </x:c>
      <x:c r="F18" s="450" t="s">
        <x:v>1383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1384</x:v>
      </x:c>
      <x:c r="D19" s="453" t="s">
        <x:v>1385</x:v>
      </x:c>
      <x:c r="E19" s="453" t="s">
        <x:v>1386</x:v>
      </x:c>
      <x:c r="F19" s="453" t="s">
        <x:v>1387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9" customHeight="1">
      <x:c r="A20" s="4"/>
      <x:c r="B20" s="5"/>
      <x:c r="C20" s="454"/>
      <x:c r="D20" s="453"/>
      <x:c r="E20" s="453"/>
      <x:c r="F20" s="453"/>
      <x:c r="G20" s="579"/>
      <x:c r="H20" s="579"/>
      <x:c r="I20" s="579"/>
      <x:c r="J20" s="579"/>
      <x:c r="K20" s="579"/>
      <x:c r="L20" s="579"/>
      <x:c r="M20" s="579"/>
      <x:c r="N20" s="579"/>
    </x:row>
    <x:row r="21" ht="22.200000762939453" customHeight="1">
      <x:c r="A21" s="4"/>
      <x:c r="B21" s="5"/>
      <x:c r="C21" s="621" t="s">
        <x:v>1388</x:v>
      </x:c>
      <x:c r="D21" s="453"/>
      <x:c r="E21" s="453"/>
      <x:c r="F21" s="453"/>
      <x:c r="G21" s="579"/>
      <x:c r="H21" s="579"/>
      <x:c r="I21" s="579"/>
      <x:c r="J21" s="579"/>
      <x:c r="K21" s="579"/>
      <x:c r="L21" s="579"/>
      <x:c r="M21" s="579"/>
      <x:c r="N21" s="579"/>
    </x:row>
    <x:row r="22" ht="9" customHeight="1">
      <x:c r="A22" s="4"/>
      <x:c r="B22" s="5"/>
      <x:c r="C22" s="454"/>
      <x:c r="D22" s="453"/>
      <x:c r="E22" s="453"/>
      <x:c r="F22" s="453"/>
      <x:c r="G22" s="579"/>
      <x:c r="H22" s="579"/>
      <x:c r="I22" s="579"/>
      <x:c r="J22" s="579"/>
      <x:c r="K22" s="579"/>
      <x:c r="L22" s="579"/>
      <x:c r="M22" s="579"/>
      <x:c r="N22" s="579"/>
    </x:row>
    <x:row r="23" ht="9" customHeight="1">
      <x:c r="A23" s="4"/>
      <x:c r="B23" s="5"/>
      <x:c r="C23" s="454"/>
      <x:c r="D23" s="453"/>
      <x:c r="E23" s="453"/>
      <x:c r="F23" s="453"/>
      <x:c r="G23" s="579"/>
      <x:c r="H23" s="579"/>
      <x:c r="I23" s="579"/>
      <x:c r="J23" s="579"/>
      <x:c r="K23" s="579"/>
      <x:c r="L23" s="579"/>
      <x:c r="M23" s="579"/>
      <x:c r="N23" s="579"/>
    </x:row>
    <x:row r="24" ht="9" customHeight="1">
      <x:c r="A24" s="4"/>
      <x:c r="B24" s="5"/>
      <x:c r="C24" s="454"/>
      <x:c r="D24" s="453"/>
      <x:c r="E24" s="453"/>
      <x:c r="F24" s="453"/>
      <x:c r="G24" s="579"/>
      <x:c r="H24" s="579"/>
      <x:c r="I24" s="579"/>
      <x:c r="J24" s="579"/>
      <x:c r="K24" s="579"/>
      <x:c r="L24" s="579"/>
      <x:c r="M24" s="579"/>
      <x:c r="N24" s="579"/>
    </x:row>
    <x:row r="25" ht="9" customHeight="1">
      <x:c r="A25" s="4"/>
      <x:c r="B25" s="5"/>
      <x:c r="C25" s="454"/>
      <x:c r="D25" s="453"/>
      <x:c r="E25" s="453"/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22.200000762939453" customHeight="1">
      <x:c r="A26" s="4"/>
      <x:c r="B26" s="5"/>
      <x:c r="C26" s="621" t="s">
        <x:v>1389</x:v>
      </x:c>
      <x:c r="D26" s="453"/>
      <x:c r="E26" s="453"/>
      <x:c r="F26" s="453"/>
      <x:c r="G26" s="579"/>
      <x:c r="H26" s="579"/>
      <x:c r="I26" s="579"/>
      <x:c r="J26" s="579"/>
      <x:c r="K26" s="579"/>
      <x:c r="L26" s="579"/>
      <x:c r="M26" s="579"/>
      <x:c r="N26" s="579"/>
    </x:row>
    <x:row r="27" ht="9" customHeight="1">
      <x:c r="A27" s="4"/>
      <x:c r="B27" s="5"/>
      <x:c r="C27" s="454"/>
      <x:c r="D27" s="453"/>
      <x:c r="E27" s="453"/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872</x:v>
      </x:c>
      <x:c r="D28" s="450" t="s">
        <x:v>1390</x:v>
      </x:c>
      <x:c r="E28" s="450" t="s">
        <x:v>1294</x:v>
      </x:c>
      <x:c r="F28" s="450" t="s">
        <x:v>1391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35.599998474121094" customHeight="1">
      <x:c r="A29" s="4"/>
      <x:c r="B29" s="5"/>
      <x:c r="C29" s="454" t="s">
        <x:v>1392</x:v>
      </x:c>
      <x:c r="D29" s="453" t="s">
        <x:v>1393</x:v>
      </x:c>
      <x:c r="E29" s="453" t="s">
        <x:v>1394</x:v>
      </x:c>
      <x:c r="F29" s="453" t="s">
        <x:v>1395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22.75" customHeight="1">
      <x:c r="A30" s="4"/>
      <x:c r="B30" s="5"/>
      <x:c r="C30" s="451" t="s">
        <x:v>1396</x:v>
      </x:c>
      <x:c r="D30" s="450" t="s">
        <x:v>1397</x:v>
      </x:c>
      <x:c r="E30" s="450" t="s">
        <x:v>1398</x:v>
      </x:c>
      <x:c r="F30" s="450" t="s">
        <x:v>1399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35.599998474121094" customHeight="1">
      <x:c r="A31" s="4"/>
      <x:c r="B31" s="5"/>
      <x:c r="C31" s="454" t="s">
        <x:v>1400</x:v>
      </x:c>
      <x:c r="D31" s="453" t="s">
        <x:v>1401</x:v>
      </x:c>
      <x:c r="E31" s="453" t="s">
        <x:v>1402</x:v>
      </x:c>
      <x:c r="F31" s="453" t="s">
        <x:v>1403</x:v>
      </x:c>
      <x:c r="G31" s="579"/>
      <x:c r="H31" s="579"/>
      <x:c r="I31" s="579"/>
      <x:c r="J31" s="579"/>
      <x:c r="K31" s="579"/>
      <x:c r="L31" s="579"/>
      <x:c r="M31" s="579"/>
      <x:c r="N31" s="579"/>
    </x:row>
    <x:row r="32" ht="35.599998474121094" customHeight="1">
      <x:c r="A32" s="4"/>
      <x:c r="B32" s="5"/>
      <x:c r="C32" s="451" t="s">
        <x:v>1404</x:v>
      </x:c>
      <x:c r="D32" s="450" t="s">
        <x:v>1405</x:v>
      </x:c>
      <x:c r="E32" s="450" t="s">
        <x:v>1406</x:v>
      </x:c>
      <x:c r="F32" s="450" t="s">
        <x:v>1407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9" customHeight="1">
      <x:c r="A33" s="4"/>
      <x:c r="B33" s="5"/>
      <x:c r="C33" s="454"/>
      <x:c r="D33" s="453"/>
      <x:c r="E33" s="453"/>
      <x:c r="F33" s="453"/>
      <x:c r="G33" s="579"/>
      <x:c r="H33" s="579"/>
      <x:c r="I33" s="579"/>
      <x:c r="J33" s="579"/>
      <x:c r="K33" s="579"/>
      <x:c r="L33" s="579"/>
      <x:c r="M33" s="579"/>
      <x:c r="N33" s="579"/>
    </x:row>
    <x:row r="34" ht="34.29999923706055" customHeight="1">
      <x:c r="A34" s="4"/>
      <x:c r="B34" s="5"/>
      <x:c r="C34" s="621" t="s">
        <x:v>1408</x:v>
      </x:c>
      <x:c r="D34" s="453"/>
      <x:c r="E34" s="453"/>
      <x:c r="F34" s="453"/>
      <x:c r="G34" s="579"/>
      <x:c r="H34" s="579"/>
      <x:c r="I34" s="579"/>
      <x:c r="J34" s="579"/>
      <x:c r="K34" s="579"/>
      <x:c r="L34" s="579"/>
      <x:c r="M34" s="579"/>
      <x:c r="N34" s="579"/>
    </x:row>
    <x:row r="35" ht="9" customHeight="1">
      <x:c r="A35" s="4"/>
      <x:c r="B35" s="5"/>
      <x:c r="C35" s="454"/>
      <x:c r="D35" s="453"/>
      <x:c r="E35" s="453"/>
      <x:c r="F35" s="453"/>
      <x:c r="G35" s="579"/>
      <x:c r="H35" s="579"/>
      <x:c r="I35" s="579"/>
      <x:c r="J35" s="579"/>
      <x:c r="K35" s="579"/>
      <x:c r="L35" s="579"/>
      <x:c r="M35" s="579"/>
      <x:c r="N35" s="579"/>
    </x:row>
    <x:row r="36" ht="34.29999923706055" customHeight="1">
      <x:c r="A36" s="7"/>
      <x:c r="B36" s="8"/>
      <x:c r="C36" s="621" t="s">
        <x:v>1409</x:v>
      </x:c>
      <x:c r="D36" s="453"/>
      <x:c r="E36" s="453"/>
      <x:c r="F36" s="453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13  |  GMI CLOUD PUBLIC FINANCING CASE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can a private neocloud announcement teach without claiming company support?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Announced equity and credit facilities are not equivalent to cash available for a specific lease.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28" customHeight="1">
      <x:c r="P210" s="594" t="str">
        <x:v>MEASURE / INVESTMENT QUESTION</x:v>
      </x:c>
      <x:c r="Q210" s="414" t="str">
        <x:v>VALUE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Series B equity</x:v>
      </x:c>
      <x:c r="Q211" s="1261" t="n">
        <x:f>D7</x:f>
        <x:v>223</x:v>
      </x:c>
      <x:c r="R211" s="599" t="str">
        <x:v>GMI Case tab</x:v>
      </x:c>
      <x:c r="S211" s="599" t="str">
        <x:v>S14 | Company-issued release dated October 1, 2026</x:v>
      </x:c>
    </x:row>
    <x:row r="212" ht="17.110000610351562" hidden="0" customHeight="1">
      <x:c r="P212" s="509" t="str">
        <x:v>CTBC-led credit facility</x:v>
      </x:c>
      <x:c r="Q212" s="1262" t="n">
        <x:f>D8</x:f>
        <x:v>445</x:v>
      </x:c>
      <x:c r="R212" s="510" t="str">
        <x:v>GMI Case tab</x:v>
      </x:c>
      <x:c r="S212" s="510" t="str">
        <x:v>S14 | Borrowing capacity; drawn amount not provided</x:v>
      </x:c>
    </x:row>
    <x:row r="213" ht="17.110000610351562" hidden="0" customHeight="1">
      <x:c r="P213" s="597" t="str">
        <x:v>Total announced financing</x:v>
      </x:c>
      <x:c r="Q213" s="1261" t="n">
        <x:f>D9</x:f>
        <x:v>668</x:v>
      </x:c>
      <x:c r="R213" s="599" t="str">
        <x:v>GMI Case tab</x:v>
      </x:c>
      <x:c r="S213" s="599" t="str">
        <x:v>Arithmetic sum of two different capital forms</x:v>
      </x:c>
    </x:row>
    <x:row r="214" ht="30.219999313354492" hidden="0" customHeight="1">
      <x:c r="P214" s="509" t="str">
        <x:v>Debt actually drawn</x:v>
      </x:c>
      <x:c r="Q214" s="1042" t="str">
        <x:f>"NOT DISCLOSED HERE"</x:f>
        <x:v>NOT DISCLOSED HERE</x:v>
      </x:c>
      <x:c r="R214" s="510" t="str">
        <x:v>C15</x:v>
      </x:c>
      <x:c r="S214" s="510" t="str">
        <x:v>$445m facility is not $445m cash or debt drawn</x:v>
      </x:c>
    </x:row>
    <x:row r="215" ht="30.219999313354492" hidden="0" customHeight="1">
      <x:c r="P215" s="597" t="str">
        <x:v>Rate, maturity and covenants</x:v>
      </x:c>
      <x:c r="Q215" s="1041" t="str">
        <x:f>"NOT DISCLOSED HERE"</x:f>
        <x:v>NOT DISCLOSED HERE</x:v>
      </x:c>
      <x:c r="R215" s="599" t="str">
        <x:v>C16</x:v>
      </x:c>
      <x:c r="S215" s="599" t="str">
        <x:v>Cannot reproduce financing economics</x:v>
      </x:c>
    </x:row>
    <x:row r="216" ht="30.219999313354492" hidden="0" customHeight="1">
      <x:c r="P216" s="509" t="str">
        <x:v>Collateral and cash restrictions</x:v>
      </x:c>
      <x:c r="Q216" s="1042" t="str">
        <x:f>"NOT DISCLOSED HERE"</x:f>
        <x:v>NOT DISCLOSED HERE</x:v>
      </x:c>
      <x:c r="R216" s="510" t="str">
        <x:v>C17</x:v>
      </x:c>
      <x:c r="S216" s="510" t="str">
        <x:v>Cash may not be available to a particular tenant entity</x:v>
      </x:c>
    </x:row>
    <x:row r="217" ht="30.219999313354492" hidden="0" customHeight="1">
      <x:c r="P217" s="597" t="str">
        <x:v>Contracted ARR to collected cash</x:v>
      </x:c>
      <x:c r="Q217" s="1041" t="str">
        <x:f>"NOT RECONCILED"</x:f>
        <x:v>NOT RECONCILED</x:v>
      </x:c>
      <x:c r="R217" s="599" t="str">
        <x:v>C18</x:v>
      </x:c>
      <x:c r="S217" s="599" t="str">
        <x:v>Annualized indicators are not annual revenue or cash</x:v>
      </x:c>
    </x:row>
    <x:row r="218" ht="30.219999313354492" hidden="0" customHeight="1">
      <x:c r="P218" s="509" t="str">
        <x:v>Guarantee of property rent</x:v>
      </x:c>
      <x:c r="Q218" s="1042" t="str">
        <x:f>"NOT ESTABLISHED"</x:f>
        <x:v>NOT ESTABLISHED</x:v>
      </x:c>
      <x:c r="R218" s="510" t="str">
        <x:v>C19</x:v>
      </x:c>
      <x:c r="S218" s="510" t="str">
        <x:v>Investor/customer/supplier relationships create different obligations</x:v>
      </x:c>
    </x:row>
    <x:row r="219" ht="30.219999313354492" hidden="0" customHeight="1">
      <x:c r="P219" s="597" t="str">
        <x:v>Different contract clocks</x:v>
      </x:c>
      <x:c r="Q219" s="1041" t="str">
        <x:f>"12–15-year facility leases;"</x:f>
        <x:v>12–15-year facility leases;</x:v>
      </x:c>
      <x:c r="R219" s="599" t="str">
        <x:v>C29</x:v>
      </x:c>
      <x:c r="S219" s="599" t="str">
        <x:v>Request the actual maturity/renewal schedule; not every lease has these terms</x:v>
      </x:c>
    </x:row>
    <x:row r="220" ht="43.33000183105469" hidden="0" customHeight="1">
      <x:c r="P220" s="509" t="str">
        <x:v>Utilization</x:v>
      </x:c>
      <x:c r="Q220" s="1042" t="str">
        <x:f>"Paid-utilization claims"</x:f>
        <x:v>Paid-utilization claims</x:v>
      </x:c>
      <x:c r="R220" s="510" t="str">
        <x:v>C30</x:v>
      </x:c>
      <x:c r="S220" s="510" t="str">
        <x:v>Paid time, electrical loading and contractual capacity differ</x:v>
      </x:c>
    </x:row>
    <x:row r="221" ht="30.219999313354492" hidden="0" customHeight="1">
      <x:c r="P221" s="597" t="str">
        <x:v>Lockbox / SPV</x:v>
      </x:c>
      <x:c r="Q221" s="1041" t="str">
        <x:v>Illustrative cash routing</x:v>
      </x:c>
      <x:c r="R221" s="599" t="str">
        <x:v>C31</x:v>
      </x:c>
      <x:c r="S221" s="599" t="str">
        <x:v>Speaker example only: payment order, not guaranteed GMI cash.</x:v>
      </x:c>
    </x:row>
    <x:row r="222" ht="30.219999313354492" hidden="0" customHeight="1">
      <x:c r="P222" s="509" t="str">
        <x:v>Regional financing</x:v>
      </x:c>
      <x:c r="Q222" s="1042" t="str">
        <x:v>NTD financing referenced</x:v>
      </x:c>
      <x:c r="R222" s="510" t="str">
        <x:v>C32</x:v>
      </x:c>
      <x:c r="S222" s="510" t="str">
        <x:v>FX-hedged dollar costs and binding terms require verification.</x:v>
      </x:c>
    </x:row>
    <x:row r="223" ht="2" customHeight="1">
      <x:c r="P223" s="509"/>
      <x:c r="Q223" s="511"/>
      <x:c r="R223" s="510"/>
      <x:c r="S223" s="510"/>
    </x:row>
    <x:row r="224" ht="2" customHeight="1">
      <x:c r="P224" s="509"/>
      <x:c r="Q224" s="511"/>
      <x:c r="R224" s="510"/>
      <x:c r="S224" s="510"/>
    </x:row>
    <x:row r="225" ht="2" customHeight="1">
      <x:c r="P225" s="509"/>
      <x:c r="Q225" s="511"/>
      <x:c r="R225" s="510"/>
      <x:c r="S225" s="510"/>
    </x:row>
    <x:row r="226" ht="2" customHeight="1">
      <x:c r="P226" s="509"/>
      <x:c r="Q226" s="511"/>
      <x:c r="R226" s="510"/>
      <x:c r="S226" s="510"/>
    </x:row>
    <x:row r="227" ht="2" customHeight="1">
      <x:c r="P227" s="509"/>
      <x:c r="Q227" s="511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28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6:F26"/>
    <x:mergeCell ref="C34:F34"/>
    <x:mergeCell ref="C36:F36"/>
    <x:mergeCell ref="C3:F3"/>
    <x:mergeCell ref="C4:F4"/>
    <x:mergeCell ref="C5:F5"/>
    <x:mergeCell ref="C12:F12"/>
    <x:mergeCell ref="C21:F21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29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1410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1411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1412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1413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1359</x:v>
      </x:c>
      <x:c r="D12" s="1027" t="n">
        <x:f>'GMI Case'!D7</x:f>
        <x:v>223</x:v>
      </x:c>
      <x:c r="E12" s="450" t="str">
        <x:v>GMI Case tab</x:v>
      </x:c>
      <x:c r="F12" s="450" t="s">
        <x:v>1414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1361</x:v>
      </x:c>
      <x:c r="D13" s="1028" t="n">
        <x:f>'GMI Case'!D8</x:f>
        <x:v>445</x:v>
      </x:c>
      <x:c r="E13" s="453" t="str">
        <x:v>GMI Case tab</x:v>
      </x:c>
      <x:c r="F13" s="453" t="s">
        <x:v>1415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1363</x:v>
      </x:c>
      <x:c r="D14" s="1027" t="n">
        <x:f>'GMI Case'!D9</x:f>
        <x:v>668</x:v>
      </x:c>
      <x:c r="E14" s="450" t="str">
        <x:v>GMI Case tab</x:v>
      </x:c>
      <x:c r="F14" s="450" t="s">
        <x:v>1416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1417</x:v>
      </x:c>
      <x:c r="D15" s="468" t="n">
        <x:f>'GMI Case'!E7</x:f>
        <x:v>0.3338323353293413</x:v>
      </x:c>
      <x:c r="E15" s="453" t="str">
        <x:v>GMI Case tab</x:v>
      </x:c>
      <x:c r="F15" s="453" t="s">
        <x:v>1418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1419</x:v>
      </x:c>
      <x:c r="D16" s="472" t="n">
        <x:f>'GMI Case'!E8</x:f>
        <x:v>0.6661676646706587</x:v>
      </x:c>
      <x:c r="E16" s="450" t="str">
        <x:v>GMI Case tab</x:v>
      </x:c>
      <x:c r="F16" s="450" t="s">
        <x:v>1420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1370</x:v>
      </x:c>
      <x:c r="D17" s="979" t="s">
        <x:v>227</x:v>
      </x:c>
      <x:c r="E17" s="453" t="str">
        <x:v>NOT VERIFIED</x:v>
      </x:c>
      <x:c r="F17" s="453" t="s">
        <x:v>1421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1422</x:v>
      </x:c>
      <x:c r="D18" s="980" t="s">
        <x:v>227</x:v>
      </x:c>
      <x:c r="E18" s="450" t="str">
        <x:v>NOT VERIFIED</x:v>
      </x:c>
      <x:c r="F18" s="450" t="s">
        <x:v>1423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1424</x:v>
      </x:c>
      <x:c r="D19" s="979" t="s">
        <x:v>227</x:v>
      </x:c>
      <x:c r="E19" s="453" t="str">
        <x:v>NOT VERIFIED</x:v>
      </x:c>
      <x:c r="F19" s="453" t="s">
        <x:v>1425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1426</x:v>
      </x:c>
      <x:c r="D20" s="980" t="s">
        <x:v>227</x:v>
      </x:c>
      <x:c r="E20" s="450" t="str">
        <x:v>NOT VERIFIED</x:v>
      </x:c>
      <x:c r="F20" s="450" t="s">
        <x:v>1427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1428</x:v>
      </x:c>
      <x:c r="D21" s="979" t="s">
        <x:v>227</x:v>
      </x:c>
      <x:c r="E21" s="453" t="str">
        <x:v>NOT VERIFIED</x:v>
      </x:c>
      <x:c r="F21" s="453" t="s">
        <x:v>1429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5" customHeight="1">
      <x:c r="A22" s="4"/>
      <x:c r="B22" s="5"/>
      <x:c r="C22" s="641" t="s">
        <x:v>1430</x:v>
      </x:c>
      <x:c r="D22" s="977"/>
      <x:c r="E22" s="642"/>
      <x:c r="F22" s="642"/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1431</x:v>
      </x:c>
      <x:c r="D23" s="979" t="s">
        <x:v>227</x:v>
      </x:c>
      <x:c r="E23" s="453" t="str">
        <x:v>GII Valley101 report</x:v>
      </x:c>
      <x:c r="F23" s="453" t="s">
        <x:v>1432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1433</x:v>
      </x:c>
      <x:c r="D24" s="980" t="s">
        <x:v>227</x:v>
      </x:c>
      <x:c r="E24" s="450" t="str">
        <x:v>GII Valley101 report</x:v>
      </x:c>
      <x:c r="F24" s="450" t="s">
        <x:v>1434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1435</x:v>
      </x:c>
      <x:c r="D25" s="979" t="s">
        <x:v>227</x:v>
      </x:c>
      <x:c r="E25" s="453" t="str">
        <x:v>GII Valley101 report</x:v>
      </x:c>
      <x:c r="F25" s="453" t="s">
        <x:v>1436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1437</x:v>
      </x:c>
      <x:c r="D26" s="980" t="s">
        <x:v>227</x:v>
      </x:c>
      <x:c r="E26" s="450" t="str">
        <x:v>GII Valley101 report</x:v>
      </x:c>
      <x:c r="F26" s="450" t="s">
        <x:v>1438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9" customHeight="1">
      <x:c r="A27" s="4"/>
      <x:c r="B27" s="5"/>
      <x:c r="C27" s="454"/>
      <x:c r="D27" s="979"/>
      <x:c r="E27" s="453"/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22.200000762939453" customHeight="1">
      <x:c r="A28" s="7"/>
      <x:c r="B28" s="8"/>
      <x:c r="C28" s="621" t="s">
        <x:v>233</x:v>
      </x:c>
      <x:c r="D28" s="979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>
      <x:c r="C29" s="556"/>
      <x:c r="D29" s="579"/>
      <x:c r="E29" s="579"/>
      <x:c r="F29" s="579"/>
      <x:c r="G29" s="579"/>
      <x:c r="H29" s="579"/>
      <x:c r="I29" s="579"/>
      <x:c r="J29" s="579"/>
      <x:c r="K29" s="579"/>
      <x:c r="L29" s="579"/>
      <x:c r="M29" s="579"/>
      <x:c r="N29" s="579"/>
    </x:row>
    <x:row r="30">
      <x:c r="C30" s="556"/>
      <x:c r="D30" s="579"/>
      <x:c r="E30" s="579"/>
      <x:c r="F30" s="579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13  |  GMI CLOUD PUBLIC FINANCING CASE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can a private neocloud announcement teach without claiming company support?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Announced equity and credit facilities are not equivalent to cash available for a specific lease.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28" customHeight="1">
      <x:c r="P210" s="594" t="str">
        <x:v>MEASURE / INVESTMENT QUESTION</x:v>
      </x:c>
      <x:c r="Q210" s="414" t="str">
        <x:v>VALUE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PUBLIC FINANCING | NOT A PROPERTY GUARANTEE</x:v>
      </x:c>
      <x:c r="Q211" s="1047"/>
      <x:c r="R211" s="685" t="str"/>
      <x:c r="S211" s="685" t="str"/>
    </x:row>
    <x:row r="212" ht="17.110000610351562" hidden="0" customHeight="1">
      <x:c r="P212" s="509" t="str">
        <x:v>Series B equity</x:v>
      </x:c>
      <x:c r="Q212" s="1262" t="n">
        <x:f>E13_GMI_Case!D12</x:f>
        <x:v>223</x:v>
      </x:c>
      <x:c r="R212" s="510" t="str">
        <x:v>GMI Case tab</x:v>
      </x:c>
      <x:c r="S212" s="510" t="str">
        <x:v>Issuer announcement of raised equity.</x:v>
      </x:c>
    </x:row>
    <x:row r="213" ht="17.110000610351562" hidden="0" customHeight="1">
      <x:c r="P213" s="597" t="str">
        <x:v>CTBC-led credit facility</x:v>
      </x:c>
      <x:c r="Q213" s="1261" t="n">
        <x:f>E13_GMI_Case!D13</x:f>
        <x:v>445</x:v>
      </x:c>
      <x:c r="R213" s="599" t="str">
        <x:v>GMI Case tab</x:v>
      </x:c>
      <x:c r="S213" s="599" t="str">
        <x:v>Availability and draw terms not established here.</x:v>
      </x:c>
    </x:row>
    <x:row r="214" ht="17.110000610351562" hidden="0" customHeight="1">
      <x:c r="P214" s="509" t="str">
        <x:v>Total announced financing</x:v>
      </x:c>
      <x:c r="Q214" s="1262" t="n">
        <x:f>E13_GMI_Case!D14</x:f>
        <x:v>668</x:v>
      </x:c>
      <x:c r="R214" s="510" t="str">
        <x:v>GMI Case tab</x:v>
      </x:c>
      <x:c r="S214" s="510" t="str">
        <x:v>Equity + facility ≠ unrestricted bank cash.</x:v>
      </x:c>
    </x:row>
    <x:row r="215" ht="17.110000610351562" hidden="0" customHeight="1">
      <x:c r="P215" s="597" t="str">
        <x:v>Equity share of announced package</x:v>
      </x:c>
      <x:c r="Q215" s="672" t="n">
        <x:f>E13_GMI_Case!D15</x:f>
        <x:v>0.3338323353293413</x:v>
      </x:c>
      <x:c r="R215" s="599" t="str">
        <x:v>GMI Case tab</x:v>
      </x:c>
      <x:c r="S215" s="599" t="str">
        <x:v>Derived composition, not cost of capital.</x:v>
      </x:c>
    </x:row>
    <x:row r="216" ht="17.110000610351562" hidden="0" customHeight="1">
      <x:c r="P216" s="509" t="str">
        <x:v>Credit facility share</x:v>
      </x:c>
      <x:c r="Q216" s="611" t="n">
        <x:f>E13_GMI_Case!D16</x:f>
        <x:v>0.6661676646706587</x:v>
      </x:c>
      <x:c r="R216" s="510" t="str">
        <x:v>GMI Case tab</x:v>
      </x:c>
      <x:c r="S216" s="510" t="str">
        <x:v>Not actual outstanding debt.</x:v>
      </x:c>
    </x:row>
    <x:row r="217" ht="17.110000610351562" hidden="0" customHeight="1">
      <x:c r="P217" s="597" t="str">
        <x:v>Debt actually drawn</x:v>
      </x:c>
      <x:c r="Q217" s="1041" t="str">
        <x:v>REQUIRED</x:v>
      </x:c>
      <x:c r="R217" s="599" t="str">
        <x:v>NOT VERIFIED</x:v>
      </x:c>
      <x:c r="S217" s="599" t="str">
        <x:v>Borrowing statement, available/undrawn amount.</x:v>
      </x:c>
    </x:row>
    <x:row r="218" ht="17.110000610351562" hidden="0" customHeight="1">
      <x:c r="P218" s="509" t="str">
        <x:v>Interest, maturity and covenants</x:v>
      </x:c>
      <x:c r="Q218" s="1042" t="str">
        <x:v>REQUIRED</x:v>
      </x:c>
      <x:c r="R218" s="510" t="str">
        <x:v>NOT VERIFIED</x:v>
      </x:c>
      <x:c r="S218" s="510" t="str">
        <x:v>Executed financing documentation.</x:v>
      </x:c>
    </x:row>
    <x:row r="219" ht="17.110000610351562" hidden="0" customHeight="1">
      <x:c r="P219" s="597" t="str">
        <x:v>Collateral and payment restrictions</x:v>
      </x:c>
      <x:c r="Q219" s="1041" t="str">
        <x:v>REQUIRED</x:v>
      </x:c>
      <x:c r="R219" s="599" t="str">
        <x:v>NOT VERIFIED</x:v>
      </x:c>
      <x:c r="S219" s="599" t="str">
        <x:v>Security documentation and cash waterfall.</x:v>
      </x:c>
    </x:row>
    <x:row r="220" ht="17.110000610351562" hidden="0" customHeight="1">
      <x:c r="P220" s="509" t="str">
        <x:v>Contracted ARR → cash collected</x:v>
      </x:c>
      <x:c r="Q220" s="1042" t="str">
        <x:v>REQUIRED</x:v>
      </x:c>
      <x:c r="R220" s="510" t="str">
        <x:v>NOT VERIFIED</x:v>
      </x:c>
      <x:c r="S220" s="510" t="str">
        <x:v>Reconcile deployment, billing and collections.</x:v>
      </x:c>
    </x:row>
    <x:row r="221" ht="17.110000610351562" hidden="0" customHeight="1">
      <x:c r="P221" s="597" t="str">
        <x:v>Executed property rent guarantee</x:v>
      </x:c>
      <x:c r="Q221" s="1041" t="str">
        <x:v>REQUIRED</x:v>
      </x:c>
      <x:c r="R221" s="599" t="str">
        <x:v>NOT VERIFIED</x:v>
      </x:c>
      <x:c r="S221" s="599" t="str">
        <x:v>Must exist at exact tenant/guarantor entity.</x:v>
      </x:c>
    </x:row>
    <x:row r="222" ht="16" hidden="0" customHeight="1">
      <x:c r="P222" s="684" t="str">
        <x:v>VALLEY101 | SPEAKER OBSERVATIONS</x:v>
      </x:c>
      <x:c r="Q222" s="1047"/>
      <x:c r="R222" s="685" t="str"/>
      <x:c r="S222" s="685" t="str"/>
    </x:row>
    <x:row r="223" ht="17.110000610351562" hidden="0" customHeight="1">
      <x:c r="P223" s="597" t="str">
        <x:v>Lease vs compute contract clock</x:v>
      </x:c>
      <x:c r="Q223" s="1041" t="str">
        <x:v>SOURCE</x:v>
      </x:c>
      <x:c r="R223" s="599" t="str">
        <x:v>GII Valley101 report</x:v>
      </x:c>
      <x:c r="S223" s="599" t="str">
        <x:v>Attributed typical 12–15 vs 4–6 years, NOT an actual deal.</x:v>
      </x:c>
    </x:row>
    <x:row r="224" ht="17.110000610351562" hidden="0" customHeight="1">
      <x:c r="P224" s="509" t="str">
        <x:v>Cloud utilization</x:v>
      </x:c>
      <x:c r="Q224" s="1042" t="str">
        <x:v>SOURCE</x:v>
      </x:c>
      <x:c r="R224" s="510" t="str">
        <x:v>GII Valley101 report</x:v>
      </x:c>
      <x:c r="S224" s="510" t="str">
        <x:v>Paid utilization is not landowner occupancy.</x:v>
      </x:c>
    </x:row>
    <x:row r="225" ht="17.110000610351562" hidden="0" customHeight="1">
      <x:c r="P225" s="597" t="str">
        <x:v>Lockbox and SPV example</x:v>
      </x:c>
      <x:c r="Q225" s="1041" t="str">
        <x:v>SOURCE</x:v>
      </x:c>
      <x:c r="R225" s="599" t="str">
        <x:v>GII Valley101 report</x:v>
      </x:c>
      <x:c r="S225" s="599" t="str">
        <x:v>Speaker illustration, NOT confirmed GMI transaction.</x:v>
      </x:c>
    </x:row>
    <x:row r="226" ht="17.110000610351562" hidden="0" customHeight="1">
      <x:c r="P226" s="509" t="str">
        <x:v>International financing</x:v>
      </x:c>
      <x:c r="Q226" s="1042" t="str">
        <x:v>SOURCE</x:v>
      </x:c>
      <x:c r="R226" s="510" t="str">
        <x:v>GII Valley101 report</x:v>
      </x:c>
      <x:c r="S226" s="510" t="str">
        <x:v>All-in FX-hedged cost required.</x:v>
      </x:c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29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8:F28"/>
    <x:mergeCell ref="C3:D3"/>
    <x:mergeCell ref="C4:F4"/>
    <x:mergeCell ref="C5:F5"/>
    <x:mergeCell ref="C7:F7"/>
    <x:mergeCell ref="C11:F11"/>
    <x:mergeCell ref="C22:F22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2:S22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0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36.23046875" customWidth="1"/>
    <x:col min="4" max="4" width="31.84375" customWidth="1"/>
    <x:col min="5" max="5" width="28.15234375" customWidth="1"/>
    <x:col min="6" max="6" width="58.15234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1439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1440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1441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1442</x:v>
      </x:c>
      <x:c r="D6" s="623" t="s">
        <x:v>1443</x:v>
      </x:c>
      <x:c r="E6" s="623" t="s">
        <x:v>1444</x:v>
      </x:c>
      <x:c r="F6" s="623" t="s">
        <x:v>1445</x:v>
      </x:c>
      <x:c r="G6" s="556"/>
      <x:c r="H6" s="556"/>
      <x:c r="I6" s="556"/>
      <x:c r="J6" s="556"/>
      <x:c r="K6" s="556"/>
      <x:c r="L6" s="556"/>
      <x:c r="M6" s="556"/>
      <x:c r="N6" s="556"/>
    </x:row>
    <x:row r="7" ht="35.599998474121094" customHeight="1">
      <x:c r="A7" s="4"/>
      <x:c r="B7" s="5"/>
      <x:c r="C7" s="454" t="s">
        <x:v>1446</x:v>
      </x:c>
      <x:c r="D7" s="453" t="s">
        <x:v>1447</x:v>
      </x:c>
      <x:c r="E7" s="453" t="s">
        <x:v>1448</x:v>
      </x:c>
      <x:c r="F7" s="453" t="s">
        <x:v>1449</x:v>
      </x:c>
      <x:c r="G7" s="579"/>
      <x:c r="H7" s="579"/>
      <x:c r="I7" s="579"/>
      <x:c r="J7" s="579"/>
      <x:c r="K7" s="579"/>
      <x:c r="L7" s="579"/>
      <x:c r="M7" s="579"/>
      <x:c r="N7" s="579"/>
    </x:row>
    <x:row r="8" ht="35.599998474121094" customHeight="1">
      <x:c r="A8" s="4"/>
      <x:c r="B8" s="5"/>
      <x:c r="C8" s="451" t="s">
        <x:v>1450</x:v>
      </x:c>
      <x:c r="D8" s="450" t="s">
        <x:v>1451</x:v>
      </x:c>
      <x:c r="E8" s="450" t="s">
        <x:v>1452</x:v>
      </x:c>
      <x:c r="F8" s="450" t="s">
        <x:v>1453</x:v>
      </x:c>
      <x:c r="G8" s="579"/>
      <x:c r="H8" s="579"/>
      <x:c r="I8" s="579"/>
      <x:c r="J8" s="579"/>
      <x:c r="K8" s="579"/>
      <x:c r="L8" s="579"/>
      <x:c r="M8" s="579"/>
      <x:c r="N8" s="579"/>
    </x:row>
    <x:row r="9" ht="35.599998474121094" customHeight="1">
      <x:c r="A9" s="4"/>
      <x:c r="B9" s="5"/>
      <x:c r="C9" s="454" t="s">
        <x:v>1454</x:v>
      </x:c>
      <x:c r="D9" s="453" t="s">
        <x:v>1455</x:v>
      </x:c>
      <x:c r="E9" s="453" t="s">
        <x:v>1456</x:v>
      </x:c>
      <x:c r="F9" s="453" t="s">
        <x:v>1457</x:v>
      </x:c>
      <x:c r="G9" s="579"/>
      <x:c r="H9" s="579"/>
      <x:c r="I9" s="579"/>
      <x:c r="J9" s="579"/>
      <x:c r="K9" s="579"/>
      <x:c r="L9" s="579"/>
      <x:c r="M9" s="579"/>
      <x:c r="N9" s="579"/>
    </x:row>
    <x:row r="10" ht="35.599998474121094" customHeight="1">
      <x:c r="A10" s="4"/>
      <x:c r="B10" s="5"/>
      <x:c r="C10" s="451" t="s">
        <x:v>1458</x:v>
      </x:c>
      <x:c r="D10" s="450" t="s">
        <x:v>1459</x:v>
      </x:c>
      <x:c r="E10" s="450" t="s">
        <x:v>1460</x:v>
      </x:c>
      <x:c r="F10" s="450" t="s">
        <x:v>1461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35.599998474121094" customHeight="1">
      <x:c r="A11" s="4"/>
      <x:c r="B11" s="5"/>
      <x:c r="C11" s="454" t="s">
        <x:v>53</x:v>
      </x:c>
      <x:c r="D11" s="453" t="s">
        <x:v>1462</x:v>
      </x:c>
      <x:c r="E11" s="453" t="s">
        <x:v>1463</x:v>
      </x:c>
      <x:c r="F11" s="453" t="s">
        <x:v>1464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1465</x:v>
      </x:c>
      <x:c r="D12" s="450" t="s">
        <x:v>1466</x:v>
      </x:c>
      <x:c r="E12" s="450" t="s">
        <x:v>1467</x:v>
      </x:c>
      <x:c r="F12" s="450" t="s">
        <x:v>1468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35.599998474121094" customHeight="1">
      <x:c r="A13" s="4"/>
      <x:c r="B13" s="5"/>
      <x:c r="C13" s="454" t="s">
        <x:v>1469</x:v>
      </x:c>
      <x:c r="D13" s="453" t="s">
        <x:v>1470</x:v>
      </x:c>
      <x:c r="E13" s="453" t="s">
        <x:v>1471</x:v>
      </x:c>
      <x:c r="F13" s="453" t="s">
        <x:v>1472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35.599998474121094" customHeight="1">
      <x:c r="A14" s="4"/>
      <x:c r="B14" s="5"/>
      <x:c r="C14" s="451" t="s">
        <x:v>1473</x:v>
      </x:c>
      <x:c r="D14" s="450" t="s">
        <x:v>1474</x:v>
      </x:c>
      <x:c r="E14" s="450" t="s">
        <x:v>1475</x:v>
      </x:c>
      <x:c r="F14" s="450" t="s">
        <x:v>1476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35.599998474121094" customHeight="1">
      <x:c r="A15" s="4"/>
      <x:c r="B15" s="5"/>
      <x:c r="C15" s="454" t="s">
        <x:v>1477</x:v>
      </x:c>
      <x:c r="D15" s="453" t="s">
        <x:v>1478</x:v>
      </x:c>
      <x:c r="E15" s="453" t="s">
        <x:v>1479</x:v>
      </x:c>
      <x:c r="F15" s="453" t="s">
        <x:v>1480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35.599998474121094" customHeight="1">
      <x:c r="A16" s="4"/>
      <x:c r="B16" s="5"/>
      <x:c r="C16" s="451" t="s">
        <x:v>1481</x:v>
      </x:c>
      <x:c r="D16" s="450" t="s">
        <x:v>1482</x:v>
      </x:c>
      <x:c r="E16" s="450" t="s">
        <x:v>1483</x:v>
      </x:c>
      <x:c r="F16" s="450" t="s">
        <x:v>1484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9" customHeight="1">
      <x:c r="A17" s="4"/>
      <x:c r="B17" s="5"/>
      <x:c r="C17" s="454"/>
      <x:c r="D17" s="453"/>
      <x:c r="E17" s="453"/>
      <x:c r="F17" s="453"/>
      <x:c r="G17" s="579"/>
      <x:c r="H17" s="579"/>
      <x:c r="I17" s="579"/>
      <x:c r="J17" s="579"/>
      <x:c r="K17" s="579"/>
      <x:c r="L17" s="579"/>
      <x:c r="M17" s="579"/>
      <x:c r="N17" s="579"/>
    </x:row>
    <x:row r="18" ht="22.200000762939453" customHeight="1">
      <x:c r="A18" s="4"/>
      <x:c r="B18" s="5"/>
      <x:c r="C18" s="621" t="s">
        <x:v>1485</x:v>
      </x:c>
      <x:c r="D18" s="453"/>
      <x:c r="E18" s="453"/>
      <x:c r="F18" s="453"/>
      <x:c r="G18" s="579"/>
      <x:c r="H18" s="579"/>
      <x:c r="I18" s="579"/>
      <x:c r="J18" s="579"/>
      <x:c r="K18" s="579"/>
      <x:c r="L18" s="579"/>
      <x:c r="M18" s="579"/>
      <x:c r="N18" s="579"/>
    </x:row>
    <x:row r="19" ht="9" customHeight="1">
      <x:c r="A19" s="4"/>
      <x:c r="B19" s="5"/>
      <x:c r="C19" s="454"/>
      <x:c r="D19" s="453"/>
      <x:c r="E19" s="453"/>
      <x:c r="F19" s="453"/>
      <x:c r="G19" s="579"/>
      <x:c r="H19" s="579"/>
      <x:c r="I19" s="579"/>
      <x:c r="J19" s="579"/>
      <x:c r="K19" s="579"/>
      <x:c r="L19" s="579"/>
      <x:c r="M19" s="579"/>
      <x:c r="N19" s="579"/>
    </x:row>
    <x:row r="20" ht="9" customHeight="1">
      <x:c r="A20" s="4"/>
      <x:c r="B20" s="5"/>
      <x:c r="C20" s="454"/>
      <x:c r="D20" s="453"/>
      <x:c r="E20" s="453"/>
      <x:c r="F20" s="453"/>
      <x:c r="G20" s="579"/>
      <x:c r="H20" s="579"/>
      <x:c r="I20" s="579"/>
      <x:c r="J20" s="579"/>
      <x:c r="K20" s="579"/>
      <x:c r="L20" s="579"/>
      <x:c r="M20" s="579"/>
      <x:c r="N20" s="579"/>
    </x:row>
    <x:row r="21" ht="9" customHeight="1">
      <x:c r="A21" s="4"/>
      <x:c r="B21" s="5"/>
      <x:c r="C21" s="454"/>
      <x:c r="D21" s="453"/>
      <x:c r="E21" s="453"/>
      <x:c r="F21" s="453"/>
      <x:c r="G21" s="579"/>
      <x:c r="H21" s="579"/>
      <x:c r="I21" s="579"/>
      <x:c r="J21" s="579"/>
      <x:c r="K21" s="579"/>
      <x:c r="L21" s="579"/>
      <x:c r="M21" s="579"/>
      <x:c r="N21" s="579"/>
    </x:row>
    <x:row r="22" ht="9" customHeight="1">
      <x:c r="A22" s="4"/>
      <x:c r="B22" s="5"/>
      <x:c r="C22" s="454"/>
      <x:c r="D22" s="453"/>
      <x:c r="E22" s="453"/>
      <x:c r="F22" s="453"/>
      <x:c r="G22" s="579"/>
      <x:c r="H22" s="579"/>
      <x:c r="I22" s="579"/>
      <x:c r="J22" s="579"/>
      <x:c r="K22" s="579"/>
      <x:c r="L22" s="579"/>
      <x:c r="M22" s="579"/>
      <x:c r="N22" s="579"/>
    </x:row>
    <x:row r="23" ht="9" customHeight="1">
      <x:c r="A23" s="4"/>
      <x:c r="B23" s="5"/>
      <x:c r="C23" s="454"/>
      <x:c r="D23" s="453"/>
      <x:c r="E23" s="453"/>
      <x:c r="F23" s="453"/>
      <x:c r="G23" s="579"/>
      <x:c r="H23" s="579"/>
      <x:c r="I23" s="579"/>
      <x:c r="J23" s="579"/>
      <x:c r="K23" s="579"/>
      <x:c r="L23" s="579"/>
      <x:c r="M23" s="579"/>
      <x:c r="N23" s="579"/>
    </x:row>
    <x:row r="24" ht="22.200000762939453" customHeight="1">
      <x:c r="A24" s="4"/>
      <x:c r="B24" s="5"/>
      <x:c r="C24" s="621" t="s">
        <x:v>1486</x:v>
      </x:c>
      <x:c r="D24" s="453"/>
      <x:c r="E24" s="453"/>
      <x:c r="F24" s="453"/>
      <x:c r="G24" s="579"/>
      <x:c r="H24" s="579"/>
      <x:c r="I24" s="579"/>
      <x:c r="J24" s="579"/>
      <x:c r="K24" s="579"/>
      <x:c r="L24" s="579"/>
      <x:c r="M24" s="579"/>
      <x:c r="N24" s="579"/>
    </x:row>
    <x:row r="25" ht="9" customHeight="1">
      <x:c r="A25" s="4"/>
      <x:c r="B25" s="5"/>
      <x:c r="C25" s="454"/>
      <x:c r="D25" s="453"/>
      <x:c r="E25" s="453"/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1487</x:v>
      </x:c>
      <x:c r="D26" s="450" t="s">
        <x:v>1488</x:v>
      </x:c>
      <x:c r="E26" s="450" t="s">
        <x:v>1489</x:v>
      </x:c>
      <x:c r="F26" s="450" t="s">
        <x:v>1490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1491</x:v>
      </x:c>
      <x:c r="D27" s="453" t="s">
        <x:v>1492</x:v>
      </x:c>
      <x:c r="E27" s="453" t="s">
        <x:v>1493</x:v>
      </x:c>
      <x:c r="F27" s="453" t="s">
        <x:v>1494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35.599998474121094" customHeight="1">
      <x:c r="A28" s="4"/>
      <x:c r="B28" s="5"/>
      <x:c r="C28" s="451" t="s">
        <x:v>1495</x:v>
      </x:c>
      <x:c r="D28" s="450" t="s">
        <x:v>1496</x:v>
      </x:c>
      <x:c r="E28" s="450" t="s">
        <x:v>1497</x:v>
      </x:c>
      <x:c r="F28" s="450" t="s">
        <x:v>1498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35.599998474121094" customHeight="1">
      <x:c r="A29" s="4"/>
      <x:c r="B29" s="5"/>
      <x:c r="C29" s="454" t="s">
        <x:v>1499</x:v>
      </x:c>
      <x:c r="D29" s="453" t="s">
        <x:v>1500</x:v>
      </x:c>
      <x:c r="E29" s="453" t="s">
        <x:v>1501</x:v>
      </x:c>
      <x:c r="F29" s="453" t="s">
        <x:v>1502</x:v>
      </x:c>
      <x:c r="G29" s="579"/>
      <x:c r="H29" s="579"/>
      <x:c r="I29" s="579"/>
      <x:c r="J29" s="579"/>
      <x:c r="K29" s="579"/>
      <x:c r="L29" s="579"/>
      <x:c r="M29" s="579"/>
      <x:c r="N29" s="579"/>
    </x:row>
    <x:row r="30" ht="35.599998474121094" customHeight="1">
      <x:c r="A30" s="4"/>
      <x:c r="B30" s="5"/>
      <x:c r="C30" s="451" t="s">
        <x:v>1503</x:v>
      </x:c>
      <x:c r="D30" s="450" t="s">
        <x:v>1504</x:v>
      </x:c>
      <x:c r="E30" s="450" t="s">
        <x:v>1505</x:v>
      </x:c>
      <x:c r="F30" s="450" t="s">
        <x:v>1506</x:v>
      </x:c>
      <x:c r="G30" s="579"/>
      <x:c r="H30" s="579"/>
      <x:c r="I30" s="579"/>
      <x:c r="J30" s="579"/>
      <x:c r="K30" s="579"/>
      <x:c r="L30" s="579"/>
      <x:c r="M30" s="579"/>
      <x:c r="N30" s="579"/>
    </x:row>
    <x:row r="31" ht="9" customHeight="1">
      <x:c r="A31" s="4"/>
      <x:c r="B31" s="5"/>
      <x:c r="C31" s="454"/>
      <x:c r="D31" s="453"/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 ht="22.200000762939453" customHeight="1">
      <x:c r="A32" s="7"/>
      <x:c r="B32" s="8"/>
      <x:c r="C32" s="621" t="s">
        <x:v>1507</x:v>
      </x:c>
      <x:c r="D32" s="453"/>
      <x:c r="E32" s="453"/>
      <x:c r="F32" s="453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14  |  LEASE DOCUMENT DILIGENCE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must be in the lease before billable MW turn into a bankable claim?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Deliverability, acceptance and recovery rights matter as much as contract rent.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Owned assets</x:v>
      </x:c>
      <x:c r="Q211" s="1041" t="str">
        <x:f>"MODEL / GATE"</x:f>
        <x:v>MODEL / GATE</x:v>
      </x:c>
      <x:c r="R211" s="599" t="str">
        <x:v>C7</x:v>
      </x:c>
      <x:c r="S211" s="599" t="str">
        <x:v>Avoid paying for equipment excluded from property collateral</x:v>
      </x:c>
    </x:row>
    <x:row r="212" ht="17.110000610351562" hidden="0" customHeight="1">
      <x:c r="P212" s="509" t="str">
        <x:v>Capacity</x:v>
      </x:c>
      <x:c r="Q212" s="1042" t="str">
        <x:f>"MODEL / GATE"</x:f>
        <x:v>MODEL / GATE</x:v>
      </x:c>
      <x:c r="R212" s="510" t="str">
        <x:v>C8</x:v>
      </x:c>
      <x:c r="S212" s="510" t="str">
        <x:v>Rent unit must match deliverable capacity</x:v>
      </x:c>
    </x:row>
    <x:row r="213" ht="17.110000610351562" hidden="0" customHeight="1">
      <x:c r="P213" s="597" t="str">
        <x:v>Rent scope</x:v>
      </x:c>
      <x:c r="Q213" s="1041" t="str">
        <x:f>"MODEL / GATE"</x:f>
        <x:v>MODEL / GATE</x:v>
      </x:c>
      <x:c r="R213" s="599" t="str">
        <x:v>C9</x:v>
      </x:c>
      <x:c r="S213" s="599" t="str">
        <x:v>Do not add a second operating-cost recovery</x:v>
      </x:c>
    </x:row>
    <x:row r="214" ht="17.110000610351562" hidden="0" customHeight="1">
      <x:c r="P214" s="509" t="str">
        <x:v>Billability</x:v>
      </x:c>
      <x:c r="Q214" s="1042" t="str">
        <x:f>"MODEL / GATE"</x:f>
        <x:v>MODEL / GATE</x:v>
      </x:c>
      <x:c r="R214" s="510" t="str">
        <x:v>C10</x:v>
      </x:c>
      <x:c r="S214" s="510" t="str">
        <x:v>Late power can delay rent without reducing debt cost</x:v>
      </x:c>
    </x:row>
    <x:row r="215" ht="30.219999313354492" hidden="0" customHeight="1">
      <x:c r="P215" s="597" t="str">
        <x:v>Power</x:v>
      </x:c>
      <x:c r="Q215" s="1041" t="str">
        <x:f>"MODEL / GATE"</x:f>
        <x:v>MODEL / GATE</x:v>
      </x:c>
      <x:c r="R215" s="599" t="str">
        <x:v>C11</x:v>
      </x:c>
      <x:c r="S215" s="599" t="str">
        <x:v>Recovery timing and nonpayment can create liquidity exposure</x:v>
      </x:c>
    </x:row>
    <x:row r="216" ht="17.110000610351562" hidden="0" customHeight="1">
      <x:c r="P216" s="509" t="str">
        <x:v>Escalation</x:v>
      </x:c>
      <x:c r="Q216" s="1042" t="str">
        <x:f>"MODEL / GATE"</x:f>
        <x:v>MODEL / GATE</x:v>
      </x:c>
      <x:c r="R216" s="510" t="str">
        <x:v>C12</x:v>
      </x:c>
      <x:c r="S216" s="510" t="str">
        <x:v>Different escalators change margin</x:v>
      </x:c>
    </x:row>
    <x:row r="217" ht="17.110000610351562" hidden="0" customHeight="1">
      <x:c r="P217" s="597" t="str">
        <x:v>Term</x:v>
      </x:c>
      <x:c r="Q217" s="1041" t="str">
        <x:f>"MODEL / GATE"</x:f>
        <x:v>MODEL / GATE</x:v>
      </x:c>
      <x:c r="R217" s="599" t="str">
        <x:v>C13</x:v>
      </x:c>
      <x:c r="S217" s="599" t="str">
        <x:v>Only five assumed years remain at exit</x:v>
      </x:c>
    </x:row>
    <x:row r="218" ht="17.110000610351562" hidden="0" customHeight="1">
      <x:c r="P218" s="509" t="str">
        <x:v>Service obligations</x:v>
      </x:c>
      <x:c r="Q218" s="1042" t="str">
        <x:f>"MODEL / GATE"</x:f>
        <x:v>MODEL / GATE</x:v>
      </x:c>
      <x:c r="R218" s="510" t="str">
        <x:v>C14</x:v>
      </x:c>
      <x:c r="S218" s="510" t="str">
        <x:v>Availability failures can reduce receipts</x:v>
      </x:c>
    </x:row>
    <x:row r="219" ht="17.110000610351562" hidden="0" customHeight="1">
      <x:c r="P219" s="597" t="str">
        <x:v>Counterparty</x:v>
      </x:c>
      <x:c r="Q219" s="1041" t="str">
        <x:f>"MODEL / GATE"</x:f>
        <x:v>MODEL / GATE</x:v>
      </x:c>
      <x:c r="R219" s="599" t="str">
        <x:v>C15</x:v>
      </x:c>
      <x:c r="S219" s="599" t="str">
        <x:v>Corporate brand is not enforceable recourse</x:v>
      </x:c>
    </x:row>
    <x:row r="220" ht="17.110000610351562" hidden="0" customHeight="1">
      <x:c r="P220" s="509" t="str">
        <x:v>Renewal/exit</x:v>
      </x:c>
      <x:c r="Q220" s="1042" t="str">
        <x:f>"MODEL / GATE"</x:f>
        <x:v>MODEL / GATE</x:v>
      </x:c>
      <x:c r="R220" s="510" t="str">
        <x:v>C16</x:v>
      </x:c>
      <x:c r="S220" s="510" t="str">
        <x:v>Reserve may not fund a new technology generation</x:v>
      </x:c>
    </x:row>
    <x:row r="221" ht="17.110000610351562" hidden="0" customHeight="1">
      <x:c r="P221" s="597" t="str">
        <x:v>Power and permits</x:v>
      </x:c>
      <x:c r="Q221" s="1041" t="str">
        <x:f>"MODEL / GATE"</x:f>
        <x:v>MODEL / GATE</x:v>
      </x:c>
      <x:c r="R221" s="599" t="str">
        <x:v>C27</x:v>
      </x:c>
      <x:c r="S221" s="599" t="str">
        <x:v>Utility, permitting team, engineer</x:v>
      </x:c>
    </x:row>
    <x:row r="222" ht="17.110000610351562" hidden="0" customHeight="1">
      <x:c r="P222" s="509" t="str">
        <x:v>Budget and delivery</x:v>
      </x:c>
      <x:c r="Q222" s="1042" t="str">
        <x:f>"MODEL / GATE"</x:f>
        <x:v>MODEL / GATE</x:v>
      </x:c>
      <x:c r="R222" s="510" t="str">
        <x:v>C28</x:v>
      </x:c>
      <x:c r="S222" s="510" t="str">
        <x:v>Developer and mission-critical contractor</x:v>
      </x:c>
    </x:row>
    <x:row r="223" ht="17.110000610351562" hidden="0" customHeight="1">
      <x:c r="P223" s="597" t="str">
        <x:v>Lease and credit</x:v>
      </x:c>
      <x:c r="Q223" s="1041" t="str">
        <x:f>"MODEL / GATE"</x:f>
        <x:v>MODEL / GATE</x:v>
      </x:c>
      <x:c r="R223" s="599" t="str">
        <x:v>C29</x:v>
      </x:c>
      <x:c r="S223" s="599" t="str">
        <x:v>Commercial team, counsel, credit reviewer</x:v>
      </x:c>
    </x:row>
    <x:row r="224" ht="17.110000610351562" hidden="0" customHeight="1">
      <x:c r="P224" s="509" t="str">
        <x:v>Financing and exit</x:v>
      </x:c>
      <x:c r="Q224" s="1042" t="str">
        <x:f>"MODEL / GATE"</x:f>
        <x:v>MODEL / GATE</x:v>
      </x:c>
      <x:c r="R224" s="510" t="str">
        <x:v>C30</x:v>
      </x:c>
      <x:c r="S224" s="510" t="str">
        <x:v>Lender, investment committee, appraiser</x:v>
      </x:c>
    </x:row>
    <x:row r="225" ht="2" customHeight="1">
      <x:c r="P225" s="509"/>
      <x:c r="Q225" s="510"/>
      <x:c r="R225" s="510"/>
      <x:c r="S225" s="510"/>
    </x:row>
    <x:row r="226" ht="2" customHeight="1">
      <x:c r="P226" s="509"/>
      <x:c r="Q226" s="510"/>
      <x:c r="R226" s="510"/>
      <x:c r="S226" s="510"/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30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2:F32"/>
    <x:mergeCell ref="C3:F3"/>
    <x:mergeCell ref="C4:F4"/>
    <x:mergeCell ref="C5:F5"/>
    <x:mergeCell ref="C18:F18"/>
    <x:mergeCell ref="C24:F24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1508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1509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1510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1511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1512</x:v>
      </x:c>
      <x:c r="D12" s="980" t="s">
        <x:v>227</x:v>
      </x:c>
      <x:c r="E12" s="450" t="str">
        <x:v>Lease Screen tab</x:v>
      </x:c>
      <x:c r="F12" s="450" t="s">
        <x:v>1513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1514</x:v>
      </x:c>
      <x:c r="D13" s="979" t="s">
        <x:v>227</x:v>
      </x:c>
      <x:c r="E13" s="453" t="str">
        <x:v>Lease Screen tab</x:v>
      </x:c>
      <x:c r="F13" s="453" t="s">
        <x:v>1515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1516</x:v>
      </x:c>
      <x:c r="D14" s="980" t="s">
        <x:v>227</x:v>
      </x:c>
      <x:c r="E14" s="450" t="str">
        <x:v>Lease Screen tab</x:v>
      </x:c>
      <x:c r="F14" s="450" t="s">
        <x:v>1517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1518</x:v>
      </x:c>
      <x:c r="D15" s="979" t="s">
        <x:v>227</x:v>
      </x:c>
      <x:c r="E15" s="453" t="str">
        <x:v>Lease Screen tab</x:v>
      </x:c>
      <x:c r="F15" s="453" t="s">
        <x:v>1519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535</x:v>
      </x:c>
      <x:c r="D16" s="980" t="s">
        <x:v>227</x:v>
      </x:c>
      <x:c r="E16" s="450" t="str">
        <x:v>Lease Screen tab</x:v>
      </x:c>
      <x:c r="F16" s="450" t="s">
        <x:v>1520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1521</x:v>
      </x:c>
      <x:c r="D17" s="979" t="s">
        <x:v>227</x:v>
      </x:c>
      <x:c r="E17" s="453" t="str">
        <x:v>Lease Screen tab</x:v>
      </x:c>
      <x:c r="F17" s="453" t="s">
        <x:v>1522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1523</x:v>
      </x:c>
      <x:c r="D18" s="980" t="s">
        <x:v>227</x:v>
      </x:c>
      <x:c r="E18" s="450" t="str">
        <x:v>Lease Screen tab</x:v>
      </x:c>
      <x:c r="F18" s="450" t="s">
        <x:v>1524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1525</x:v>
      </x:c>
      <x:c r="D19" s="979" t="s">
        <x:v>227</x:v>
      </x:c>
      <x:c r="E19" s="453" t="str">
        <x:v>Lease Screen tab</x:v>
      </x:c>
      <x:c r="F19" s="453" t="s">
        <x:v>1526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1527</x:v>
      </x:c>
      <x:c r="D20" s="980" t="s">
        <x:v>227</x:v>
      </x:c>
      <x:c r="E20" s="450" t="str">
        <x:v>Lease Screen tab</x:v>
      </x:c>
      <x:c r="F20" s="450" t="s">
        <x:v>1528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1529</x:v>
      </x:c>
      <x:c r="D21" s="979" t="s">
        <x:v>227</x:v>
      </x:c>
      <x:c r="E21" s="453" t="str">
        <x:v>Lease Screen tab</x:v>
      </x:c>
      <x:c r="F21" s="453" t="s">
        <x:v>1530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5" customHeight="1">
      <x:c r="A22" s="4"/>
      <x:c r="B22" s="5"/>
      <x:c r="C22" s="641" t="s">
        <x:v>1531</x:v>
      </x:c>
      <x:c r="D22" s="977"/>
      <x:c r="E22" s="642"/>
      <x:c r="F22" s="642"/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1491</x:v>
      </x:c>
      <x:c r="D23" s="979" t="s">
        <x:v>227</x:v>
      </x:c>
      <x:c r="E23" s="453" t="str">
        <x:v>Lease Screen tab</x:v>
      </x:c>
      <x:c r="F23" s="453" t="s">
        <x:v>1532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1533</x:v>
      </x:c>
      <x:c r="D24" s="980" t="s">
        <x:v>227</x:v>
      </x:c>
      <x:c r="E24" s="450" t="str">
        <x:v>Lease Screen tab</x:v>
      </x:c>
      <x:c r="F24" s="450" t="s">
        <x:v>1534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1499</x:v>
      </x:c>
      <x:c r="D25" s="979" t="s">
        <x:v>227</x:v>
      </x:c>
      <x:c r="E25" s="453" t="str">
        <x:v>Lease Screen tab</x:v>
      </x:c>
      <x:c r="F25" s="453" t="s">
        <x:v>1535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1536</x:v>
      </x:c>
      <x:c r="D26" s="980" t="s">
        <x:v>227</x:v>
      </x:c>
      <x:c r="E26" s="450" t="str">
        <x:v>Lease Screen tab</x:v>
      </x:c>
      <x:c r="F26" s="450" t="s">
        <x:v>1537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9" customHeight="1">
      <x:c r="A27" s="4"/>
      <x:c r="B27" s="5"/>
      <x:c r="C27" s="454"/>
      <x:c r="D27" s="979"/>
      <x:c r="E27" s="453"/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22.200000762939453" customHeight="1">
      <x:c r="A28" s="7"/>
      <x:c r="B28" s="8"/>
      <x:c r="C28" s="621" t="s">
        <x:v>233</x:v>
      </x:c>
      <x:c r="D28" s="979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>
      <x:c r="C29" s="556"/>
      <x:c r="D29" s="579"/>
      <x:c r="E29" s="579"/>
      <x:c r="F29" s="579"/>
      <x:c r="G29" s="579"/>
      <x:c r="H29" s="579"/>
      <x:c r="I29" s="579"/>
      <x:c r="J29" s="579"/>
      <x:c r="K29" s="579"/>
      <x:c r="L29" s="579"/>
      <x:c r="M29" s="579"/>
      <x:c r="N29" s="579"/>
    </x:row>
    <x:row r="30">
      <x:c r="C30" s="556"/>
      <x:c r="D30" s="579"/>
      <x:c r="E30" s="579"/>
      <x:c r="F30" s="579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14  |  LEASE DOCUMENT DILIGENCE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must be in the lease before billable MW turn into a bankable claim?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Deliverability, acceptance and recovery rights matter as much as contract rent.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YOUR FACILITY LEASE | KEY INSTITUTIONAL QUESTIONS</x:v>
      </x:c>
      <x:c r="Q211" s="1047"/>
      <x:c r="R211" s="685" t="str"/>
      <x:c r="S211" s="685" t="str"/>
    </x:row>
    <x:row r="212" ht="17.110000610351562" hidden="0" customHeight="1">
      <x:c r="P212" s="509" t="str">
        <x:v>Land and permanent facility scope</x:v>
      </x:c>
      <x:c r="Q212" s="1042" t="str">
        <x:v>REQUIRED</x:v>
      </x:c>
      <x:c r="R212" s="510" t="str">
        <x:v>Lease Screen tab</x:v>
      </x:c>
      <x:c r="S212" s="510" t="str">
        <x:v>Obtain title, demarcation and equipment schedule.</x:v>
      </x:c>
    </x:row>
    <x:row r="213" ht="17.110000610351562" hidden="0" customHeight="1">
      <x:c r="P213" s="597" t="str">
        <x:v>10 MW IT delivery</x:v>
      </x:c>
      <x:c r="Q213" s="1041" t="str">
        <x:v>REQUIRED</x:v>
      </x:c>
      <x:c r="R213" s="599" t="str">
        <x:v>Lease Screen tab</x:v>
      </x:c>
      <x:c r="S213" s="599" t="str">
        <x:v>Engineer scope and executable utility commitments.</x:v>
      </x:c>
    </x:row>
    <x:row r="214" ht="17.110000610351562" hidden="0" customHeight="1">
      <x:c r="P214" s="509" t="str">
        <x:v>Gross capacity rent</x:v>
      </x:c>
      <x:c r="Q214" s="1042" t="str">
        <x:v>REQUIRED</x:v>
      </x:c>
      <x:c r="R214" s="510" t="str">
        <x:v>Lease Screen tab</x:v>
      </x:c>
      <x:c r="S214" s="510" t="str">
        <x:v>Confirm OPEX included; power separately billed.</x:v>
      </x:c>
    </x:row>
    <x:row r="215" ht="17.110000610351562" hidden="0" customHeight="1">
      <x:c r="P215" s="597" t="str">
        <x:v>Contractual billability</x:v>
      </x:c>
      <x:c r="Q215" s="1041" t="str">
        <x:v>REQUIRED</x:v>
      </x:c>
      <x:c r="R215" s="599" t="str">
        <x:v>Lease Screen tab</x:v>
      </x:c>
      <x:c r="S215" s="599" t="str">
        <x:v>Acceptance, milestones, free rent and phase-in.</x:v>
      </x:c>
    </x:row>
    <x:row r="216" ht="17.110000610351562" hidden="0" customHeight="1">
      <x:c r="P216" s="509" t="str">
        <x:v>Electricity reimbursement</x:v>
      </x:c>
      <x:c r="Q216" s="1042" t="str">
        <x:v>REQUIRED</x:v>
      </x:c>
      <x:c r="R216" s="510" t="str">
        <x:v>Lease Screen tab</x:v>
      </x:c>
      <x:c r="S216" s="510" t="str">
        <x:v>Tariff, metering, deposits and payment timing.</x:v>
      </x:c>
    </x:row>
    <x:row r="217" ht="17.110000610351562" hidden="0" customHeight="1">
      <x:c r="P217" s="597" t="str">
        <x:v>Rent and cost escalators</x:v>
      </x:c>
      <x:c r="Q217" s="1041" t="str">
        <x:v>REQUIRED</x:v>
      </x:c>
      <x:c r="R217" s="599" t="str">
        <x:v>Lease Screen tab</x:v>
      </x:c>
      <x:c r="S217" s="599" t="str">
        <x:v>Underwrite actual signed clauses.</x:v>
      </x:c>
    </x:row>
    <x:row r="218" ht="17.110000610351562" hidden="0" customHeight="1">
      <x:c r="P218" s="509" t="str">
        <x:v>15-year term assumption</x:v>
      </x:c>
      <x:c r="Q218" s="1042" t="str">
        <x:v>REQUIRED</x:v>
      </x:c>
      <x:c r="R218" s="510" t="str">
        <x:v>Lease Screen tab</x:v>
      </x:c>
      <x:c r="S218" s="510" t="str">
        <x:v>Five years of term assumed at sale.</x:v>
      </x:c>
    </x:row>
    <x:row r="219" ht="17.110000610351562" hidden="0" customHeight="1">
      <x:c r="P219" s="597" t="str">
        <x:v>Service levels and remedies</x:v>
      </x:c>
      <x:c r="Q219" s="1041" t="str">
        <x:v>REQUIRED</x:v>
      </x:c>
      <x:c r="R219" s="599" t="str">
        <x:v>Lease Screen tab</x:v>
      </x:c>
      <x:c r="S219" s="599" t="str">
        <x:v>Nonperformance can cause abatement.</x:v>
      </x:c>
    </x:row>
    <x:row r="220" ht="17.110000610351562" hidden="0" customHeight="1">
      <x:c r="P220" s="509" t="str">
        <x:v>Legal tenant and support</x:v>
      </x:c>
      <x:c r="Q220" s="1042" t="str">
        <x:v>REQUIRED</x:v>
      </x:c>
      <x:c r="R220" s="510" t="str">
        <x:v>Lease Screen tab</x:v>
      </x:c>
      <x:c r="S220" s="510" t="str">
        <x:v>Guarantee must be executed and enforceable.</x:v>
      </x:c>
    </x:row>
    <x:row r="221" ht="17.110000610351562" hidden="0" customHeight="1">
      <x:c r="P221" s="597" t="str">
        <x:v>Re-leasing / retrofit</x:v>
      </x:c>
      <x:c r="Q221" s="1041" t="str">
        <x:v>REQUIRED</x:v>
      </x:c>
      <x:c r="R221" s="599" t="str">
        <x:v>Lease Screen tab</x:v>
      </x:c>
      <x:c r="S221" s="599" t="str">
        <x:v>Collateral and tenant equipment rights matter.</x:v>
      </x:c>
    </x:row>
    <x:row r="222" ht="16" hidden="0" customHeight="1">
      <x:c r="P222" s="684" t="str">
        <x:v>DECISION GATES</x:v>
      </x:c>
      <x:c r="Q222" s="1047"/>
      <x:c r="R222" s="685" t="str"/>
      <x:c r="S222" s="685" t="str"/>
    </x:row>
    <x:row r="223" ht="17.110000610351562" hidden="0" customHeight="1">
      <x:c r="P223" s="597" t="str">
        <x:v>Power and permits</x:v>
      </x:c>
      <x:c r="Q223" s="1041" t="str">
        <x:v>REQUIRED</x:v>
      </x:c>
      <x:c r="R223" s="599" t="str">
        <x:v>Lease Screen tab</x:v>
      </x:c>
      <x:c r="S223" s="599" t="str">
        <x:v>PAUSE major binding capital; verify conditions.</x:v>
      </x:c>
    </x:row>
    <x:row r="224" ht="17.110000610351562" hidden="0" customHeight="1">
      <x:c r="P224" s="509" t="str">
        <x:v>Budget and construction</x:v>
      </x:c>
      <x:c r="Q224" s="1042" t="str">
        <x:v>REQUIRED</x:v>
      </x:c>
      <x:c r="R224" s="510" t="str">
        <x:v>Lease Screen tab</x:v>
      </x:c>
      <x:c r="S224" s="510" t="str">
        <x:v>Obtain matched bids and milestone schedule.</x:v>
      </x:c>
    </x:row>
    <x:row r="225" ht="17.110000610351562" hidden="0" customHeight="1">
      <x:c r="P225" s="597" t="str">
        <x:v>Lease and credit</x:v>
      </x:c>
      <x:c r="Q225" s="1041" t="str">
        <x:v>REQUIRED</x:v>
      </x:c>
      <x:c r="R225" s="599" t="str">
        <x:v>Lease Screen tab</x:v>
      </x:c>
      <x:c r="S225" s="599" t="str">
        <x:v>Review exact entity, payment security and remedies.</x:v>
      </x:c>
    </x:row>
    <x:row r="226" ht="17.110000610351562" hidden="0" customHeight="1">
      <x:c r="P226" s="509" t="str">
        <x:v>Refinancing and exit</x:v>
      </x:c>
      <x:c r="Q226" s="1042" t="str">
        <x:v>REQUIRED</x:v>
      </x:c>
      <x:c r="R226" s="510" t="str">
        <x:v>Lease Screen tab</x:v>
      </x:c>
      <x:c r="S226" s="510" t="str">
        <x:v>Test loan maturity and residual occupancy.</x:v>
      </x:c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31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8:F28"/>
    <x:mergeCell ref="C3:D3"/>
    <x:mergeCell ref="C4:F4"/>
    <x:mergeCell ref="C5:F5"/>
    <x:mergeCell ref="C7:F7"/>
    <x:mergeCell ref="C11:F11"/>
    <x:mergeCell ref="C22:F22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2:S22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1.84375" customWidth="1"/>
    <x:col min="5" max="5" width="26.84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1538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1539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1540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1541</x:v>
      </x:c>
      <x:c r="D6" s="623" t="s">
        <x:v>237</x:v>
      </x:c>
      <x:c r="E6" s="623" t="s">
        <x:v>1542</x:v>
      </x:c>
      <x:c r="F6" s="623" t="s">
        <x:v>604</x:v>
      </x:c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1543</x:v>
      </x:c>
      <x:c r="D7" s="452" t="n">
        <x:f>Inputs!D50/(Inputs!D12/Inputs!D16)</x:f>
        <x:v>1500000</x:v>
      </x:c>
      <x:c r="E7" s="453" t="s">
        <x:v>1544</x:v>
      </x:c>
      <x:c r="F7" s="453" t="s">
        <x:v>1545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1546</x:v>
      </x:c>
      <x:c r="D8" s="838">
        <x:v>3</x:v>
      </x:c>
      <x:c r="E8" s="450" t="s">
        <x:v>1547</x:v>
      </x:c>
      <x:c r="F8" s="450" t="s">
        <x:v>1548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454" t="s">
        <x:v>1549</x:v>
      </x:c>
      <x:c r="D9" s="839">
        <x:v>1</x:v>
      </x:c>
      <x:c r="E9" s="453" t="s">
        <x:v>1547</x:v>
      </x:c>
      <x:c r="F9" s="453" t="s">
        <x:v>1550</x:v>
      </x:c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451" t="s">
        <x:v>1551</x:v>
      </x:c>
      <x:c r="D10" s="840">
        <x:v>5000000</x:v>
      </x:c>
      <x:c r="E10" s="450" t="s">
        <x:v>1547</x:v>
      </x:c>
      <x:c r="F10" s="450" t="s">
        <x:v>1552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1553</x:v>
      </x:c>
      <x:c r="D11" s="841">
        <x:v>0.55000000000000004</x:v>
      </x:c>
      <x:c r="E11" s="453" t="s">
        <x:v>1547</x:v>
      </x:c>
      <x:c r="F11" s="453" t="s">
        <x:v>1554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1555</x:v>
      </x:c>
      <x:c r="D12" s="842">
        <x:v>0.09</x:v>
      </x:c>
      <x:c r="E12" s="450" t="s">
        <x:v>1547</x:v>
      </x:c>
      <x:c r="F12" s="450" t="s">
        <x:v>1556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1557</x:v>
      </x:c>
      <x:c r="D13" s="843">
        <x:v>1.5</x:v>
      </x:c>
      <x:c r="E13" s="453" t="s">
        <x:v>1547</x:v>
      </x:c>
      <x:c r="F13" s="453" t="s">
        <x:v>1558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1559</x:v>
      </x:c>
      <x:c r="D14" s="842">
        <x:v>0.01</x:v>
      </x:c>
      <x:c r="E14" s="450" t="s">
        <x:v>1547</x:v>
      </x:c>
      <x:c r="F14" s="450" t="s">
        <x:v>1560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9" customHeight="1">
      <x:c r="A15" s="4"/>
      <x:c r="B15" s="5"/>
      <x:c r="C15" s="454"/>
      <x:c r="D15" s="453"/>
      <x:c r="E15" s="453"/>
      <x:c r="F15" s="453"/>
      <x:c r="G15" s="579"/>
      <x:c r="H15" s="579"/>
      <x:c r="I15" s="579"/>
      <x:c r="J15" s="579"/>
      <x:c r="K15" s="579"/>
      <x:c r="L15" s="579"/>
      <x:c r="M15" s="579"/>
      <x:c r="N15" s="579"/>
    </x:row>
    <x:row r="16" ht="26.049999237060547" customHeight="1">
      <x:c r="A16" s="4"/>
      <x:c r="B16" s="5"/>
      <x:c r="C16" s="641" t="s">
        <x:v>1561</x:v>
      </x:c>
      <x:c r="D16" s="642"/>
      <x:c r="E16" s="642"/>
      <x:c r="F16" s="642"/>
      <x:c r="G16" s="579"/>
      <x:c r="H16" s="579"/>
      <x:c r="I16" s="579"/>
      <x:c r="J16" s="579"/>
      <x:c r="K16" s="579"/>
      <x:c r="L16" s="579"/>
      <x:c r="M16" s="579"/>
      <x:c r="N16" s="579"/>
    </x:row>
    <x:row r="17" ht="9" customHeight="1">
      <x:c r="A17" s="4"/>
      <x:c r="B17" s="5"/>
      <x:c r="C17" s="454"/>
      <x:c r="D17" s="453"/>
      <x:c r="E17" s="453"/>
      <x:c r="F17" s="453"/>
      <x:c r="G17" s="579"/>
      <x:c r="H17" s="579"/>
      <x:c r="I17" s="579"/>
      <x:c r="J17" s="579"/>
      <x:c r="K17" s="579"/>
      <x:c r="L17" s="579"/>
      <x:c r="M17" s="579"/>
      <x:c r="N17" s="579"/>
    </x:row>
    <x:row r="18" ht="34" customHeight="1">
      <x:c r="A18" s="4"/>
      <x:c r="B18" s="5"/>
      <x:c r="C18" s="622" t="s">
        <x:v>820</x:v>
      </x:c>
      <x:c r="D18" s="623" t="s">
        <x:v>1562</x:v>
      </x:c>
      <x:c r="E18" s="623" t="s">
        <x:v>1563</x:v>
      </x:c>
      <x:c r="F18" s="623" t="s">
        <x:v>1564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844">
        <x:v>0</x:v>
      </x:c>
      <x:c r="D19" s="452" t="n">
        <x:f>Development!$D$27*Inputs!$D$32*C19/Inputs!$D$16</x:f>
        <x:v>0</x:v>
      </x:c>
      <x:c r="E19" s="452" t="n">
        <x:f>$D$7*C19/Inputs!$D$16</x:f>
        <x:v>0</x:v>
      </x:c>
      <x:c r="F19" s="732" t="n">
        <x:f>SUM(D19:E19)</x:f>
        <x:v>0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845">
        <x:v>6</x:v>
      </x:c>
      <x:c r="D20" s="449" t="n">
        <x:f>Development!$D$27*Inputs!$D$32*C20/Inputs!$D$16</x:f>
        <x:v>4677600</x:v>
      </x:c>
      <x:c r="E20" s="449" t="n">
        <x:f>$D$7*C20/Inputs!$D$16</x:f>
        <x:v>750000</x:v>
      </x:c>
      <x:c r="F20" s="731" t="n">
        <x:f>SUM(D20:E20)</x:f>
        <x:v>5427600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92">
        <x:v>12</x:v>
      </x:c>
      <x:c r="D21" s="32" t="n">
        <x:f>Development!$D$27*Inputs!$D$32*C21/Inputs!$D$16</x:f>
        <x:v>9355200</x:v>
      </x:c>
      <x:c r="E21" s="32" t="n">
        <x:f>$D$7*C21/Inputs!$D$16</x:f>
        <x:v>1500000</x:v>
      </x:c>
      <x:c r="F21" s="32" t="n">
        <x:f>SUM(D21:E21)</x:f>
        <x:v>10855200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845">
        <x:v>24</x:v>
      </x:c>
      <x:c r="D22" s="449" t="n">
        <x:f>Development!$D$27*Inputs!$D$32*C22/Inputs!$D$16</x:f>
        <x:v>18710400</x:v>
      </x:c>
      <x:c r="E22" s="449" t="n">
        <x:f>$D$7*C22/Inputs!$D$16</x:f>
        <x:v>3000000</x:v>
      </x:c>
      <x:c r="F22" s="731" t="n">
        <x:f>SUM(D22:E22)</x:f>
        <x:v>21710400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9" customHeight="1">
      <x:c r="A23" s="4"/>
      <x:c r="B23" s="5"/>
      <x:c r="C23" s="454"/>
      <x:c r="D23" s="453"/>
      <x:c r="E23" s="453"/>
      <x:c r="F23" s="453"/>
      <x:c r="G23" s="579"/>
      <x:c r="H23" s="579"/>
      <x:c r="I23" s="579"/>
      <x:c r="J23" s="579"/>
      <x:c r="K23" s="579"/>
      <x:c r="L23" s="579"/>
      <x:c r="M23" s="579"/>
      <x:c r="N23" s="579"/>
    </x:row>
    <x:row r="24" ht="34.29999923706055" customHeight="1">
      <x:c r="A24" s="4"/>
      <x:c r="B24" s="5"/>
      <x:c r="C24" s="621" t="s">
        <x:v>1565</x:v>
      </x:c>
      <x:c r="D24" s="453"/>
      <x:c r="E24" s="453"/>
      <x:c r="F24" s="453"/>
      <x:c r="G24" s="579"/>
      <x:c r="H24" s="579"/>
      <x:c r="I24" s="579"/>
      <x:c r="J24" s="579"/>
      <x:c r="K24" s="579"/>
      <x:c r="L24" s="579"/>
      <x:c r="M24" s="579"/>
      <x:c r="N24" s="579"/>
    </x:row>
    <x:row r="25" ht="9" customHeight="1">
      <x:c r="A25" s="4"/>
      <x:c r="B25" s="5"/>
      <x:c r="C25" s="454"/>
      <x:c r="D25" s="453"/>
      <x:c r="E25" s="453"/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9" customHeight="1">
      <x:c r="A26" s="4"/>
      <x:c r="B26" s="5"/>
      <x:c r="C26" s="454"/>
      <x:c r="D26" s="453"/>
      <x:c r="E26" s="453"/>
      <x:c r="F26" s="453"/>
      <x:c r="G26" s="579"/>
      <x:c r="H26" s="579"/>
      <x:c r="I26" s="579"/>
      <x:c r="J26" s="579"/>
      <x:c r="K26" s="579"/>
      <x:c r="L26" s="579"/>
      <x:c r="M26" s="579"/>
      <x:c r="N26" s="579"/>
    </x:row>
    <x:row r="27" ht="9" customHeight="1">
      <x:c r="A27" s="4"/>
      <x:c r="B27" s="5"/>
      <x:c r="C27" s="454"/>
      <x:c r="D27" s="453"/>
      <x:c r="E27" s="453"/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9" customHeight="1">
      <x:c r="A28" s="4"/>
      <x:c r="B28" s="5"/>
      <x:c r="C28" s="454"/>
      <x:c r="D28" s="453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453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26.049999237060547" customHeight="1">
      <x:c r="A30" s="4"/>
      <x:c r="B30" s="5"/>
      <x:c r="C30" s="641" t="s">
        <x:v>1566</x:v>
      </x:c>
      <x:c r="D30" s="642"/>
      <x:c r="E30" s="642"/>
      <x:c r="F30" s="642"/>
      <x:c r="G30" s="579"/>
      <x:c r="H30" s="579"/>
      <x:c r="I30" s="579"/>
      <x:c r="J30" s="579"/>
      <x:c r="K30" s="579"/>
      <x:c r="L30" s="579"/>
      <x:c r="M30" s="579"/>
      <x:c r="N30" s="579"/>
    </x:row>
    <x:row r="31" ht="9" customHeight="1">
      <x:c r="A31" s="4"/>
      <x:c r="B31" s="5"/>
      <x:c r="C31" s="454"/>
      <x:c r="D31" s="453"/>
      <x:c r="E31" s="453"/>
      <x:c r="F31" s="453"/>
      <x:c r="G31" s="579"/>
      <x:c r="H31" s="579"/>
      <x:c r="I31" s="579"/>
      <x:c r="J31" s="579"/>
      <x:c r="K31" s="579"/>
      <x:c r="L31" s="579"/>
      <x:c r="M31" s="579"/>
      <x:c r="N31" s="579"/>
    </x:row>
    <x:row r="32" ht="34" customHeight="1">
      <x:c r="A32" s="4"/>
      <x:c r="B32" s="5"/>
      <x:c r="C32" s="622" t="s">
        <x:v>1567</x:v>
      </x:c>
      <x:c r="D32" s="623" t="s">
        <x:v>1568</x:v>
      </x:c>
      <x:c r="E32" s="623" t="s">
        <x:v>103</x:v>
      </x:c>
      <x:c r="F32" s="623" t="s">
        <x:v>701</x:v>
      </x:c>
      <x:c r="G32" s="579"/>
      <x:c r="H32" s="579"/>
      <x:c r="I32" s="579"/>
      <x:c r="J32" s="579"/>
      <x:c r="K32" s="579"/>
      <x:c r="L32" s="579"/>
      <x:c r="M32" s="579"/>
      <x:c r="N32" s="579"/>
    </x:row>
    <x:row r="33" ht="22.75" customHeight="1">
      <x:c r="A33" s="4"/>
      <x:c r="B33" s="5"/>
      <x:c r="C33" s="454" t="s">
        <x:v>1569</x:v>
      </x:c>
      <x:c r="D33" s="452" t="n">
        <x:f>-SUM(Landlord!D14:D19)*D8/Inputs!D16</x:f>
        <x:v>1812500</x:v>
      </x:c>
      <x:c r="E33" s="453" t="s">
        <x:v>1570</x:v>
      </x:c>
      <x:c r="F33" s="453" t="s">
        <x:v>1571</x:v>
      </x:c>
      <x:c r="G33" s="579"/>
      <x:c r="H33" s="579"/>
      <x:c r="I33" s="579"/>
      <x:c r="J33" s="579"/>
      <x:c r="K33" s="579"/>
      <x:c r="L33" s="579"/>
      <x:c r="M33" s="579"/>
      <x:c r="N33" s="579"/>
    </x:row>
    <x:row r="34" ht="22.75" customHeight="1">
      <x:c r="A34" s="4"/>
      <x:c r="B34" s="5"/>
      <x:c r="C34" s="451" t="s">
        <x:v>1572</x:v>
      </x:c>
      <x:c r="D34" s="449" t="n">
        <x:f>-SUM(Landlord!D22,Landlord!D24)*D8/Inputs!D16</x:f>
        <x:v>2296450</x:v>
      </x:c>
      <x:c r="E34" s="450" t="s">
        <x:v>1573</x:v>
      </x:c>
      <x:c r="F34" s="450" t="s">
        <x:v>1574</x:v>
      </x:c>
      <x:c r="G34" s="579"/>
      <x:c r="H34" s="579"/>
      <x:c r="I34" s="579"/>
      <x:c r="J34" s="579"/>
      <x:c r="K34" s="579"/>
      <x:c r="L34" s="579"/>
      <x:c r="M34" s="579"/>
      <x:c r="N34" s="579"/>
    </x:row>
    <x:row r="35" ht="22.75" customHeight="1">
      <x:c r="A35" s="4"/>
      <x:c r="B35" s="5"/>
      <x:c r="C35" s="454" t="s">
        <x:v>1575</x:v>
      </x:c>
      <x:c r="D35" s="452" t="n">
        <x:f>Power!D18*D9/Inputs!D16</x:f>
        <x:v>1341769.2</x:v>
      </x:c>
      <x:c r="E35" s="453" t="s">
        <x:v>1576</x:v>
      </x:c>
      <x:c r="F35" s="453" t="s">
        <x:v>1577</x:v>
      </x:c>
      <x:c r="G35" s="579"/>
      <x:c r="H35" s="579"/>
      <x:c r="I35" s="579"/>
      <x:c r="J35" s="579"/>
      <x:c r="K35" s="579"/>
      <x:c r="L35" s="579"/>
      <x:c r="M35" s="579"/>
      <x:c r="N35" s="579"/>
    </x:row>
    <x:row r="36" ht="22.75" customHeight="1">
      <x:c r="A36" s="4"/>
      <x:c r="B36" s="5"/>
      <x:c r="C36" s="451" t="s">
        <x:v>1578</x:v>
      </x:c>
      <x:c r="D36" s="731" t="n">
        <x:f>D10</x:f>
        <x:v>5000000</x:v>
      </x:c>
      <x:c r="E36" s="450" t="s">
        <x:v>1579</x:v>
      </x:c>
      <x:c r="F36" s="450" t="s">
        <x:v>1580</x:v>
      </x:c>
      <x:c r="G36" s="579"/>
      <x:c r="H36" s="579"/>
      <x:c r="I36" s="579"/>
      <x:c r="J36" s="579"/>
      <x:c r="K36" s="579"/>
      <x:c r="L36" s="579"/>
      <x:c r="M36" s="579"/>
      <x:c r="N36" s="579"/>
    </x:row>
    <x:row r="37" ht="22.75" customHeight="1">
      <x:c r="A37" s="4"/>
      <x:c r="B37" s="5"/>
      <x:c r="C37" s="644" t="s">
        <x:v>1581</x:v>
      </x:c>
      <x:c r="D37" s="32" t="n">
        <x:f>SUM(D33:D36)</x:f>
        <x:v>10450719.2</x:v>
      </x:c>
      <x:c r="E37" s="645" t="s">
        <x:v>1582</x:v>
      </x:c>
      <x:c r="F37" s="645" t="s">
        <x:v>1583</x:v>
      </x:c>
      <x:c r="G37" s="579"/>
      <x:c r="H37" s="579"/>
      <x:c r="I37" s="579"/>
      <x:c r="J37" s="579"/>
      <x:c r="K37" s="579"/>
      <x:c r="L37" s="579"/>
      <x:c r="M37" s="579"/>
      <x:c r="N37" s="579"/>
    </x:row>
    <x:row r="38" ht="22.75" customHeight="1">
      <x:c r="A38" s="4"/>
      <x:c r="B38" s="5"/>
      <x:c r="C38" s="451" t="s">
        <x:v>1584</x:v>
      </x:c>
      <x:c r="D38" s="449" t="n">
        <x:f>Landlord!D9*D8/Inputs!D16</x:f>
        <x:v>6750000</x:v>
      </x:c>
      <x:c r="E38" s="450" t="s">
        <x:v>1585</x:v>
      </x:c>
      <x:c r="F38" s="450" t="s">
        <x:v>1586</x:v>
      </x:c>
      <x:c r="G38" s="579"/>
      <x:c r="H38" s="579"/>
      <x:c r="I38" s="579"/>
      <x:c r="J38" s="579"/>
      <x:c r="K38" s="579"/>
      <x:c r="L38" s="579"/>
      <x:c r="M38" s="579"/>
      <x:c r="N38" s="579"/>
    </x:row>
    <x:row r="39" ht="9" customHeight="1">
      <x:c r="A39" s="4"/>
      <x:c r="B39" s="5"/>
      <x:c r="C39" s="454"/>
      <x:c r="D39" s="453"/>
      <x:c r="E39" s="453"/>
      <x:c r="F39" s="453"/>
      <x:c r="G39" s="579"/>
      <x:c r="H39" s="579"/>
      <x:c r="I39" s="579"/>
      <x:c r="J39" s="579"/>
      <x:c r="K39" s="579"/>
      <x:c r="L39" s="579"/>
      <x:c r="M39" s="579"/>
      <x:c r="N39" s="579"/>
    </x:row>
    <x:row r="40" ht="9" customHeight="1">
      <x:c r="A40" s="4"/>
      <x:c r="B40" s="5"/>
      <x:c r="C40" s="454"/>
      <x:c r="D40" s="453"/>
      <x:c r="E40" s="453"/>
      <x:c r="F40" s="453"/>
      <x:c r="G40" s="579"/>
      <x:c r="H40" s="579"/>
      <x:c r="I40" s="579"/>
      <x:c r="J40" s="579"/>
      <x:c r="K40" s="579"/>
      <x:c r="L40" s="579"/>
      <x:c r="M40" s="579"/>
      <x:c r="N40" s="579"/>
    </x:row>
    <x:row r="41" ht="34.29999923706055" customHeight="1">
      <x:c r="A41" s="4"/>
      <x:c r="B41" s="5"/>
      <x:c r="C41" s="621" t="s">
        <x:v>1587</x:v>
      </x:c>
      <x:c r="D41" s="453"/>
      <x:c r="E41" s="453"/>
      <x:c r="F41" s="453"/>
      <x:c r="G41" s="579"/>
      <x:c r="H41" s="579"/>
      <x:c r="I41" s="579"/>
      <x:c r="J41" s="579"/>
      <x:c r="K41" s="579"/>
      <x:c r="L41" s="579"/>
      <x:c r="M41" s="579"/>
      <x:c r="N41" s="579"/>
    </x:row>
    <x:row r="42" ht="9" customHeight="1">
      <x:c r="A42" s="4"/>
      <x:c r="B42" s="5"/>
      <x:c r="C42" s="454"/>
      <x:c r="D42" s="453"/>
      <x:c r="E42" s="453"/>
      <x:c r="F42" s="453"/>
      <x:c r="G42" s="579"/>
      <x:c r="H42" s="579"/>
      <x:c r="I42" s="579"/>
      <x:c r="J42" s="579"/>
      <x:c r="K42" s="579"/>
      <x:c r="L42" s="579"/>
      <x:c r="M42" s="579"/>
      <x:c r="N42" s="579"/>
    </x:row>
    <x:row r="43" ht="34.29999923706055" customHeight="1">
      <x:c r="A43" s="4"/>
      <x:c r="B43" s="5"/>
      <x:c r="C43" s="621" t="s">
        <x:v>1588</x:v>
      </x:c>
      <x:c r="D43" s="453"/>
      <x:c r="E43" s="453"/>
      <x:c r="F43" s="453"/>
      <x:c r="G43" s="579"/>
      <x:c r="H43" s="579"/>
      <x:c r="I43" s="579"/>
      <x:c r="J43" s="579"/>
      <x:c r="K43" s="579"/>
      <x:c r="L43" s="579"/>
      <x:c r="M43" s="579"/>
      <x:c r="N43" s="579"/>
    </x:row>
    <x:row r="44" ht="9" customHeight="1">
      <x:c r="A44" s="4"/>
      <x:c r="B44" s="5"/>
      <x:c r="C44" s="454"/>
      <x:c r="D44" s="453"/>
      <x:c r="E44" s="453"/>
      <x:c r="F44" s="453"/>
      <x:c r="G44" s="579"/>
      <x:c r="H44" s="579"/>
      <x:c r="I44" s="579"/>
      <x:c r="J44" s="579"/>
      <x:c r="K44" s="579"/>
      <x:c r="L44" s="579"/>
      <x:c r="M44" s="579"/>
      <x:c r="N44" s="579"/>
    </x:row>
    <x:row r="45" ht="9" customHeight="1">
      <x:c r="A45" s="4"/>
      <x:c r="B45" s="5"/>
      <x:c r="C45" s="454"/>
      <x:c r="D45" s="453"/>
      <x:c r="E45" s="453"/>
      <x:c r="F45" s="453"/>
      <x:c r="G45" s="579"/>
      <x:c r="H45" s="579"/>
      <x:c r="I45" s="579"/>
      <x:c r="J45" s="579"/>
      <x:c r="K45" s="579"/>
      <x:c r="L45" s="579"/>
      <x:c r="M45" s="579"/>
      <x:c r="N45" s="579"/>
    </x:row>
    <x:row r="46" ht="9" customHeight="1">
      <x:c r="A46" s="4"/>
      <x:c r="B46" s="5"/>
      <x:c r="C46" s="454"/>
      <x:c r="D46" s="453"/>
      <x:c r="E46" s="453"/>
      <x:c r="F46" s="453"/>
      <x:c r="G46" s="579"/>
      <x:c r="H46" s="579"/>
      <x:c r="I46" s="579"/>
      <x:c r="J46" s="579"/>
      <x:c r="K46" s="579"/>
      <x:c r="L46" s="579"/>
      <x:c r="M46" s="579"/>
      <x:c r="N46" s="579"/>
    </x:row>
    <x:row r="47" ht="9" customHeight="1">
      <x:c r="A47" s="4"/>
      <x:c r="B47" s="5"/>
      <x:c r="C47" s="454"/>
      <x:c r="D47" s="453"/>
      <x:c r="E47" s="453"/>
      <x:c r="F47" s="453"/>
      <x:c r="G47" s="579"/>
      <x:c r="H47" s="579"/>
      <x:c r="I47" s="579"/>
      <x:c r="J47" s="579"/>
      <x:c r="K47" s="579"/>
      <x:c r="L47" s="579"/>
      <x:c r="M47" s="579"/>
      <x:c r="N47" s="579"/>
    </x:row>
    <x:row r="48" ht="9" customHeight="1">
      <x:c r="A48" s="4"/>
      <x:c r="B48" s="5"/>
      <x:c r="C48" s="454"/>
      <x:c r="D48" s="453"/>
      <x:c r="E48" s="453"/>
      <x:c r="F48" s="453"/>
      <x:c r="G48" s="579"/>
      <x:c r="H48" s="579"/>
      <x:c r="I48" s="579"/>
      <x:c r="J48" s="579"/>
      <x:c r="K48" s="579"/>
      <x:c r="L48" s="579"/>
      <x:c r="M48" s="579"/>
      <x:c r="N48" s="579"/>
    </x:row>
    <x:row r="49" ht="9" customHeight="1">
      <x:c r="A49" s="4"/>
      <x:c r="B49" s="5"/>
      <x:c r="C49" s="454"/>
      <x:c r="D49" s="453"/>
      <x:c r="E49" s="453"/>
      <x:c r="F49" s="453"/>
      <x:c r="G49" s="579"/>
      <x:c r="H49" s="579"/>
      <x:c r="I49" s="579"/>
      <x:c r="J49" s="579"/>
      <x:c r="K49" s="579"/>
      <x:c r="L49" s="579"/>
      <x:c r="M49" s="579"/>
      <x:c r="N49" s="579"/>
    </x:row>
    <x:row r="50" ht="9" customHeight="1">
      <x:c r="A50" s="4"/>
      <x:c r="B50" s="5"/>
      <x:c r="C50" s="454"/>
      <x:c r="D50" s="453"/>
      <x:c r="E50" s="453"/>
      <x:c r="F50" s="453"/>
      <x:c r="G50" s="579"/>
      <x:c r="H50" s="579"/>
      <x:c r="I50" s="579"/>
      <x:c r="J50" s="579"/>
      <x:c r="K50" s="579"/>
      <x:c r="L50" s="579"/>
      <x:c r="M50" s="579"/>
      <x:c r="N50" s="579"/>
    </x:row>
    <x:row r="51" ht="26.049999237060547" customHeight="1">
      <x:c r="A51" s="4"/>
      <x:c r="B51" s="5"/>
      <x:c r="C51" s="641" t="s">
        <x:v>1589</x:v>
      </x:c>
      <x:c r="D51" s="642"/>
      <x:c r="E51" s="642"/>
      <x:c r="F51" s="642"/>
      <x:c r="G51" s="579"/>
      <x:c r="H51" s="579"/>
      <x:c r="I51" s="579"/>
      <x:c r="J51" s="579"/>
      <x:c r="K51" s="579"/>
      <x:c r="L51" s="579"/>
      <x:c r="M51" s="579"/>
      <x:c r="N51" s="579"/>
    </x:row>
    <x:row r="52" ht="9" customHeight="1">
      <x:c r="A52" s="4"/>
      <x:c r="B52" s="5"/>
      <x:c r="C52" s="454"/>
      <x:c r="D52" s="453"/>
      <x:c r="E52" s="453"/>
      <x:c r="F52" s="453"/>
      <x:c r="G52" s="579"/>
      <x:c r="H52" s="579"/>
      <x:c r="I52" s="579"/>
      <x:c r="J52" s="579"/>
      <x:c r="K52" s="579"/>
      <x:c r="L52" s="579"/>
      <x:c r="M52" s="579"/>
      <x:c r="N52" s="579"/>
    </x:row>
    <x:row r="53" ht="34" customHeight="1">
      <x:c r="A53" s="4"/>
      <x:c r="B53" s="5"/>
      <x:c r="C53" s="622" t="s">
        <x:v>1590</x:v>
      </x:c>
      <x:c r="D53" s="623" t="s">
        <x:v>1591</x:v>
      </x:c>
      <x:c r="E53" s="623" t="s">
        <x:v>1592</x:v>
      </x:c>
      <x:c r="F53" s="623" t="s">
        <x:v>1593</x:v>
      </x:c>
      <x:c r="G53" s="579"/>
      <x:c r="H53" s="579"/>
      <x:c r="I53" s="579"/>
      <x:c r="J53" s="579"/>
      <x:c r="K53" s="579"/>
      <x:c r="L53" s="579"/>
      <x:c r="M53" s="579"/>
      <x:c r="N53" s="579"/>
    </x:row>
    <x:row r="54" ht="22.75" customHeight="1">
      <x:c r="A54" s="4"/>
      <x:c r="B54" s="5"/>
      <x:c r="C54" s="846">
        <x:v>7.0000000000000007E-2</x:v>
      </x:c>
      <x:c r="D54" s="449" t="n">
        <x:f>MIN(Landlord!$I$21/C54*$D$11,Landlord!$I$23/($D$12*$D$13))</x:f>
        <x:v>155437115.81534714</x:v>
      </x:c>
      <x:c r="E54" s="449" t="n">
        <x:f>MAX(0,Development!$D$27-D54)</x:f>
        <x:v>0</x:v>
      </x:c>
      <x:c r="F54" s="449" t="n">
        <x:f>E54+MIN(Development!$D$27,D54)*$D$14</x:f>
        <x:v>1169400</x:v>
      </x:c>
      <x:c r="G54" s="579"/>
      <x:c r="H54" s="579"/>
      <x:c r="I54" s="579"/>
      <x:c r="J54" s="579"/>
      <x:c r="K54" s="579"/>
      <x:c r="L54" s="579"/>
      <x:c r="M54" s="579"/>
      <x:c r="N54" s="579"/>
    </x:row>
    <x:row r="55" ht="22.75" customHeight="1">
      <x:c r="A55" s="4"/>
      <x:c r="B55" s="5"/>
      <x:c r="C55" s="847">
        <x:v>0.09</x:v>
      </x:c>
      <x:c r="D55" s="452" t="n">
        <x:f>MIN(Landlord!$I$21/C55*$D$11,Landlord!$I$23/($D$12*$D$13))</x:f>
        <x:v>135320073.22393918</x:v>
      </x:c>
      <x:c r="E55" s="452" t="n">
        <x:f>MAX(0,Development!$D$27-D55)</x:f>
        <x:v>0</x:v>
      </x:c>
      <x:c r="F55" s="452" t="n">
        <x:f>E55+MIN(Development!$D$27,D55)*$D$14</x:f>
        <x:v>1169400</x:v>
      </x:c>
      <x:c r="G55" s="579"/>
      <x:c r="H55" s="579"/>
      <x:c r="I55" s="579"/>
      <x:c r="J55" s="579"/>
      <x:c r="K55" s="579"/>
      <x:c r="L55" s="579"/>
      <x:c r="M55" s="579"/>
      <x:c r="N55" s="579"/>
    </x:row>
    <x:row r="56" ht="22.75" customHeight="1">
      <x:c r="A56" s="4"/>
      <x:c r="B56" s="5"/>
      <x:c r="C56" s="846">
        <x:v>0.11</x:v>
      </x:c>
      <x:c r="D56" s="449" t="n">
        <x:f>MIN(Landlord!$I$21/C56*$D$11,Landlord!$I$23/($D$12*$D$13))</x:f>
        <x:v>110716423.54685932</x:v>
      </x:c>
      <x:c r="E56" s="449" t="n">
        <x:f>MAX(0,Development!$D$27-D56)</x:f>
        <x:v>6223576.453140676</x:v>
      </x:c>
      <x:c r="F56" s="449" t="n">
        <x:f>E56+MIN(Development!$D$27,D56)*$D$14</x:f>
        <x:v>7330740.688609269</x:v>
      </x:c>
      <x:c r="G56" s="579"/>
      <x:c r="H56" s="579"/>
      <x:c r="I56" s="579"/>
      <x:c r="J56" s="579"/>
      <x:c r="K56" s="579"/>
      <x:c r="L56" s="579"/>
      <x:c r="M56" s="579"/>
      <x:c r="N56" s="579"/>
    </x:row>
    <x:row r="57" ht="9" customHeight="1">
      <x:c r="A57" s="4"/>
      <x:c r="B57" s="5"/>
      <x:c r="C57" s="454"/>
      <x:c r="D57" s="453"/>
      <x:c r="E57" s="453"/>
      <x:c r="F57" s="453"/>
      <x:c r="G57" s="579"/>
      <x:c r="H57" s="579"/>
      <x:c r="I57" s="579"/>
      <x:c r="J57" s="579"/>
      <x:c r="K57" s="579"/>
      <x:c r="L57" s="579"/>
      <x:c r="M57" s="579"/>
      <x:c r="N57" s="579"/>
    </x:row>
    <x:row r="58" ht="22.200000762939453" customHeight="1">
      <x:c r="A58" s="4"/>
      <x:c r="B58" s="5"/>
      <x:c r="C58" s="621" t="s">
        <x:v>1594</x:v>
      </x:c>
      <x:c r="D58" s="453"/>
      <x:c r="E58" s="453"/>
      <x:c r="F58" s="453"/>
      <x:c r="G58" s="579"/>
      <x:c r="H58" s="579"/>
      <x:c r="I58" s="579"/>
      <x:c r="J58" s="579"/>
      <x:c r="K58" s="579"/>
      <x:c r="L58" s="579"/>
      <x:c r="M58" s="579"/>
      <x:c r="N58" s="579"/>
    </x:row>
    <x:row r="59" ht="9" customHeight="1">
      <x:c r="A59" s="4"/>
      <x:c r="B59" s="5"/>
      <x:c r="C59" s="454"/>
      <x:c r="D59" s="453"/>
      <x:c r="E59" s="453"/>
      <x:c r="F59" s="453"/>
      <x:c r="G59" s="579"/>
      <x:c r="H59" s="579"/>
      <x:c r="I59" s="579"/>
      <x:c r="J59" s="579"/>
      <x:c r="K59" s="579"/>
      <x:c r="L59" s="579"/>
      <x:c r="M59" s="579"/>
      <x:c r="N59" s="579"/>
    </x:row>
    <x:row r="60" ht="34.29999923706055" customHeight="1">
      <x:c r="A60" s="7"/>
      <x:c r="B60" s="8"/>
      <x:c r="C60" s="621" t="s">
        <x:v>1595</x:v>
      </x:c>
      <x:c r="D60" s="453"/>
      <x:c r="E60" s="453"/>
      <x:c r="F60" s="453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15  |  CASH-NEED DOWNSIDE ANALYSIS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Who must supply the next dollar when power or tenant receipts slip?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Separate incremental cash funding from revenue deferred; do not double-count lost rent.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Extra annual fixed construction carry ($)</x:v>
      </x:c>
      <x:c r="Q211" s="1037" t="n">
        <x:f>D7</x:f>
        <x:v>1500000</x:v>
      </x:c>
      <x:c r="R211" s="599" t="str">
        <x:v>Downside tab</x:v>
      </x:c>
      <x:c r="S211" s="599" t="str">
        <x:v>Extends original tax/insurance carry; not full operating costs</x:v>
      </x:c>
    </x:row>
    <x:row r="212" ht="17.110000610351562" hidden="0" customHeight="1">
      <x:c r="P212" s="509" t="str">
        <x:v>Post-completion rent interruption (months)</x:v>
      </x:c>
      <x:c r="Q212" s="1066" t="n">
        <x:f>D8</x:f>
        <x:v>3</x:v>
      </x:c>
      <x:c r="R212" s="510" t="str">
        <x:v>Downside tab</x:v>
      </x:c>
      <x:c r="S212" s="510" t="str">
        <x:v>No rent collected during the selected period</x:v>
      </x:c>
    </x:row>
    <x:row r="213" ht="30.219999313354492" hidden="0" customHeight="1">
      <x:c r="P213" s="597" t="str">
        <x:v>Power-recovery shortfall (months)</x:v>
      </x:c>
      <x:c r="Q213" s="1125" t="n">
        <x:f>D9</x:f>
        <x:v>1</x:v>
      </x:c>
      <x:c r="R213" s="599" t="str">
        <x:v>Downside tab</x:v>
      </x:c>
      <x:c r="S213" s="599" t="str">
        <x:v>Electricity already paid but not recovered; not unlimited future usage</x:v>
      </x:c>
    </x:row>
    <x:row r="214" ht="17.110000610351562" hidden="0" customHeight="1">
      <x:c r="P214" s="509" t="str">
        <x:v>One-time re-leasing / retrofit cash ($)</x:v>
      </x:c>
      <x:c r="Q214" s="1036" t="n">
        <x:f>D10</x:f>
        <x:v>5000000</x:v>
      </x:c>
      <x:c r="R214" s="510" t="str">
        <x:v>Downside tab</x:v>
      </x:c>
      <x:c r="S214" s="510" t="str">
        <x:v>Scenario placeholder, not an engineering quote</x:v>
      </x:c>
    </x:row>
    <x:row r="215" ht="17.110000610351562" hidden="0" customHeight="1">
      <x:c r="P215" s="597" t="str">
        <x:v>Refinance LTV limit</x:v>
      </x:c>
      <x:c r="Q215" s="672" t="n">
        <x:f>D11</x:f>
        <x:v>0.55</x:v>
      </x:c>
      <x:c r="R215" s="599" t="str">
        <x:v>Downside tab</x:v>
      </x:c>
      <x:c r="S215" s="599" t="str">
        <x:v>Value-based borrowing limit</x:v>
      </x:c>
    </x:row>
    <x:row r="216" ht="17.110000610351562" hidden="0" customHeight="1">
      <x:c r="P216" s="509" t="str">
        <x:v>Refinance interest-only rate</x:v>
      </x:c>
      <x:c r="Q216" s="611" t="n">
        <x:f>D12</x:f>
        <x:v>0.09</x:v>
      </x:c>
      <x:c r="R216" s="510" t="str">
        <x:v>Downside tab</x:v>
      </x:c>
      <x:c r="S216" s="510" t="str">
        <x:v>Not lender terms</x:v>
      </x:c>
    </x:row>
    <x:row r="217" ht="30.219999313354492" hidden="0" customHeight="1">
      <x:c r="P217" s="597" t="str">
        <x:v>Reserve and debt service during interruption</x:v>
      </x:c>
      <x:c r="Q217" s="1037" t="n">
        <x:f>D34</x:f>
        <x:v>2296450</x:v>
      </x:c>
      <x:c r="R217" s="599" t="str">
        <x:v>Downside tab</x:v>
      </x:c>
      <x:c r="S217" s="599" t="str">
        <x:v>Reserve maintained; interest-only debt serviced</x:v>
      </x:c>
    </x:row>
    <x:row r="218" ht="17.110000610351562" hidden="0" customHeight="1">
      <x:c r="P218" s="509" t="str">
        <x:v>Unrecovered electricity already funded</x:v>
      </x:c>
      <x:c r="Q218" s="1036" t="n">
        <x:f>D35</x:f>
        <x:v>1341769.2</x:v>
      </x:c>
      <x:c r="R218" s="510" t="str">
        <x:v>Downside tab</x:v>
      </x:c>
      <x:c r="S218" s="510" t="str">
        <x:v>A reimbursement loss, not a second capacity-rent loss</x:v>
      </x:c>
    </x:row>
    <x:row r="219" ht="17.110000610351562" hidden="0" customHeight="1">
      <x:c r="P219" s="597" t="str">
        <x:v>One-time re-leasing / retrofit cash</x:v>
      </x:c>
      <x:c r="Q219" s="1037" t="n">
        <x:f>D36</x:f>
        <x:v>5000000</x:v>
      </x:c>
      <x:c r="R219" s="599" t="str">
        <x:v>Downside tab</x:v>
      </x:c>
      <x:c r="S219" s="599" t="str">
        <x:v>Extraordinary cash beyond annual reserve</x:v>
      </x:c>
    </x:row>
    <x:row r="220" ht="17.110000610351562" hidden="0" customHeight="1">
      <x:c r="P220" s="509" t="str">
        <x:v>Total additional cash requirement</x:v>
      </x:c>
      <x:c r="Q220" s="1036" t="n">
        <x:f>D37</x:f>
        <x:v>10450719.2</x:v>
      </x:c>
      <x:c r="R220" s="510" t="str">
        <x:v>Downside tab</x:v>
      </x:c>
      <x:c r="S220" s="510" t="str">
        <x:v>No rent, guarantees or deposits recovered in this scenario</x:v>
      </x:c>
    </x:row>
    <x:row r="221" ht="17.110000610351562" hidden="0" customHeight="1">
      <x:c r="P221" s="597" t="str">
        <x:v>Rent not received (comparison only)</x:v>
      </x:c>
      <x:c r="Q221" s="1037" t="n">
        <x:f>D38</x:f>
        <x:v>6750000</x:v>
      </x:c>
      <x:c r="R221" s="599" t="str">
        <x:v>Downside tab</x:v>
      </x:c>
      <x:c r="S221" s="599" t="str">
        <x:v>Not added to the cash-need total</x:v>
      </x:c>
    </x:row>
    <x:row r="222" ht="17.110000610351562" hidden="0" customHeight="1">
      <x:c r="P222" s="509" t="str">
        <x:v>Refinancing at 7.0% cap</x:v>
      </x:c>
      <x:c r="Q222" s="1036" t="n">
        <x:f>F54</x:f>
        <x:v>1169400</x:v>
      </x:c>
      <x:c r="R222" s="510" t="str">
        <x:v>Downside tab</x:v>
      </x:c>
      <x:c r="S222" s="510" t="str">
        <x:v>Incremental shortfall plus funding fee; illustrative.</x:v>
      </x:c>
    </x:row>
    <x:row r="223" ht="17.110000610351562" hidden="0" customHeight="1">
      <x:c r="P223" s="597" t="str">
        <x:v>Refinancing at 9.0% cap</x:v>
      </x:c>
      <x:c r="Q223" s="1037" t="n">
        <x:f>F55</x:f>
        <x:v>1169400</x:v>
      </x:c>
      <x:c r="R223" s="599" t="str">
        <x:v>Downside tab</x:v>
      </x:c>
      <x:c r="S223" s="599" t="str">
        <x:v>Incremental shortfall plus funding fee; illustrative.</x:v>
      </x:c>
    </x:row>
    <x:row r="224" ht="17.110000610351562" hidden="0" customHeight="1">
      <x:c r="P224" s="509" t="str">
        <x:v>Refinancing at 11.0% cap</x:v>
      </x:c>
      <x:c r="Q224" s="1036" t="n">
        <x:f>F56</x:f>
        <x:v>7330740.688609269</x:v>
      </x:c>
      <x:c r="R224" s="510" t="str">
        <x:v>Downside tab</x:v>
      </x:c>
      <x:c r="S224" s="510" t="str">
        <x:v>Incremental shortfall plus funding fee; illustrative.</x:v>
      </x:c>
    </x:row>
    <x:row r="225" ht="2" customHeight="1">
      <x:c r="P225" s="509"/>
      <x:c r="Q225" s="512"/>
      <x:c r="R225" s="510"/>
      <x:c r="S225" s="510"/>
    </x:row>
    <x:row r="226" ht="2" customHeight="1">
      <x:c r="P226" s="509"/>
      <x:c r="Q226" s="512"/>
      <x:c r="R226" s="510"/>
      <x:c r="S226" s="510"/>
    </x:row>
    <x:row r="227" ht="2" customHeight="1">
      <x:c r="P227" s="509"/>
      <x:c r="Q227" s="512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32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60:F60"/>
    <x:mergeCell ref="C30:F30"/>
    <x:mergeCell ref="C41:F41"/>
    <x:mergeCell ref="C43:F43"/>
    <x:mergeCell ref="C51:F51"/>
    <x:mergeCell ref="C58:F58"/>
    <x:mergeCell ref="C3:F3"/>
    <x:mergeCell ref="C4:F4"/>
    <x:mergeCell ref="C5:F5"/>
    <x:mergeCell ref="C16:F16"/>
    <x:mergeCell ref="C24:F24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1596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1597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1598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1599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1600</x:v>
      </x:c>
      <x:c r="D12" s="913" t="n">
        <x:f>Downside!F20</x:f>
        <x:v>5427600</x:v>
      </x:c>
      <x:c r="E12" s="450" t="str">
        <x:v>Downside tab</x:v>
      </x:c>
      <x:c r="F12" s="450" t="s">
        <x:v>1601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1602</x:v>
      </x:c>
      <x:c r="D13" s="901" t="n">
        <x:f>Downside!F21</x:f>
        <x:v>10855200</x:v>
      </x:c>
      <x:c r="E13" s="453" t="str">
        <x:v>Downside tab</x:v>
      </x:c>
      <x:c r="F13" s="453" t="s">
        <x:v>1603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1604</x:v>
      </x:c>
      <x:c r="D14" s="913" t="n">
        <x:f>Downside!F22</x:f>
        <x:v>21710400</x:v>
      </x:c>
      <x:c r="E14" s="450" t="str">
        <x:v>Downside tab</x:v>
      </x:c>
      <x:c r="F14" s="450" t="s">
        <x:v>1605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5" customHeight="1">
      <x:c r="A15" s="4"/>
      <x:c r="B15" s="5"/>
      <x:c r="C15" s="641" t="s">
        <x:v>1606</x:v>
      </x:c>
      <x:c r="D15" s="977"/>
      <x:c r="E15" s="642"/>
      <x:c r="F15" s="642"/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1607</x:v>
      </x:c>
      <x:c r="D16" s="988" t="n">
        <x:f>Downside!D8</x:f>
        <x:v>3</x:v>
      </x:c>
      <x:c r="E16" s="450" t="str">
        <x:v>Downside tab</x:v>
      </x:c>
      <x:c r="F16" s="450" t="s">
        <x:v>1608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1609</x:v>
      </x:c>
      <x:c r="D17" s="1031" t="n">
        <x:f>Downside!D9</x:f>
        <x:v>1</x:v>
      </x:c>
      <x:c r="E17" s="453" t="str">
        <x:v>Downside tab</x:v>
      </x:c>
      <x:c r="F17" s="453" t="s">
        <x:v>1610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1611</x:v>
      </x:c>
      <x:c r="D18" s="913" t="n">
        <x:f>Downside!D10</x:f>
        <x:v>5000000</x:v>
      </x:c>
      <x:c r="E18" s="450" t="str">
        <x:v>Downside tab</x:v>
      </x:c>
      <x:c r="F18" s="450" t="s">
        <x:v>1612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1613</x:v>
      </x:c>
      <x:c r="D19" s="901" t="n">
        <x:f>Downside!D33</x:f>
        <x:v>1812500</x:v>
      </x:c>
      <x:c r="E19" s="453" t="str">
        <x:v>Downside tab</x:v>
      </x:c>
      <x:c r="F19" s="453" t="s">
        <x:v>1614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1615</x:v>
      </x:c>
      <x:c r="D20" s="913" t="n">
        <x:f>Downside!D34</x:f>
        <x:v>2296450</x:v>
      </x:c>
      <x:c r="E20" s="450" t="str">
        <x:v>Downside tab</x:v>
      </x:c>
      <x:c r="F20" s="450" t="s">
        <x:v>1616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1617</x:v>
      </x:c>
      <x:c r="D21" s="901" t="n">
        <x:f>Downside!D35</x:f>
        <x:v>1341769.2</x:v>
      </x:c>
      <x:c r="E21" s="453" t="str">
        <x:v>Downside tab</x:v>
      </x:c>
      <x:c r="F21" s="453" t="s">
        <x:v>1618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1619</x:v>
      </x:c>
      <x:c r="D22" s="913" t="n">
        <x:f>Downside!D36</x:f>
        <x:v>5000000</x:v>
      </x:c>
      <x:c r="E22" s="450" t="str">
        <x:v>Downside tab</x:v>
      </x:c>
      <x:c r="F22" s="450" t="s">
        <x:v>1620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1621</x:v>
      </x:c>
      <x:c r="D23" s="901" t="n">
        <x:f>Downside!D37</x:f>
        <x:v>10450719.2</x:v>
      </x:c>
      <x:c r="E23" s="453" t="str">
        <x:v>Downside tab</x:v>
      </x:c>
      <x:c r="F23" s="453" t="s">
        <x:v>1622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5" customHeight="1">
      <x:c r="A24" s="4"/>
      <x:c r="B24" s="5"/>
      <x:c r="C24" s="641" t="s">
        <x:v>1623</x:v>
      </x:c>
      <x:c r="D24" s="977"/>
      <x:c r="E24" s="642"/>
      <x:c r="F24" s="642"/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1624</x:v>
      </x:c>
      <x:c r="D25" s="901" t="n">
        <x:f>Downside!D54</x:f>
        <x:v>155437115.81534714</x:v>
      </x:c>
      <x:c r="E25" s="453" t="str">
        <x:v>Downside tab</x:v>
      </x:c>
      <x:c r="F25" s="453" t="s">
        <x:v>1625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1626</x:v>
      </x:c>
      <x:c r="D26" s="913" t="n">
        <x:f>Downside!D55</x:f>
        <x:v>135320073.22393918</x:v>
      </x:c>
      <x:c r="E26" s="450" t="str">
        <x:v>Downside tab</x:v>
      </x:c>
      <x:c r="F26" s="450" t="s">
        <x:v>1627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1628</x:v>
      </x:c>
      <x:c r="D27" s="901" t="n">
        <x:f>Downside!E56</x:f>
        <x:v>6223576.453140676</x:v>
      </x:c>
      <x:c r="E27" s="453" t="str">
        <x:v>Downside tab</x:v>
      </x:c>
      <x:c r="F27" s="453" t="s">
        <x:v>1629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1630</x:v>
      </x:c>
      <x:c r="D28" s="913" t="n">
        <x:f>Downside!F56</x:f>
        <x:v>7330740.688609269</x:v>
      </x:c>
      <x:c r="E28" s="450" t="str">
        <x:v>Downside tab</x:v>
      </x:c>
      <x:c r="F28" s="450" t="s">
        <x:v>1631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979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22.200000762939453" customHeight="1">
      <x:c r="A30" s="7"/>
      <x:c r="B30" s="8"/>
      <x:c r="C30" s="621" t="s">
        <x:v>233</x:v>
      </x:c>
      <x:c r="D30" s="979"/>
      <x:c r="E30" s="453"/>
      <x:c r="F30" s="453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15  |  CASH-NEED DOWNSIDE ANALYSIS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Who must supply the next dollar when power or tenant receipts slip?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Separate incremental cash funding from revenue deferred; do not double-count lost rent.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POWER DELIVERY DELAY | REQUIRED EXTRA CASH</x:v>
      </x:c>
      <x:c r="Q211" s="1047"/>
      <x:c r="R211" s="685" t="str"/>
      <x:c r="S211" s="685" t="str"/>
    </x:row>
    <x:row r="212" ht="17.110000610351562" hidden="0" customHeight="1">
      <x:c r="P212" s="509" t="str">
        <x:v>6-month delay</x:v>
      </x:c>
      <x:c r="Q212" s="1036" t="n">
        <x:f>E15_Downside!D12</x:f>
        <x:v>5427600</x:v>
      </x:c>
      <x:c r="R212" s="510" t="str">
        <x:v>Downside tab</x:v>
      </x:c>
      <x:c r="S212" s="510" t="str">
        <x:v>Interest plus fixed construction carry.</x:v>
      </x:c>
    </x:row>
    <x:row r="213" ht="17.110000610351562" hidden="0" customHeight="1">
      <x:c r="P213" s="597" t="str">
        <x:v>12-month delay</x:v>
      </x:c>
      <x:c r="Q213" s="1037" t="n">
        <x:f>E15_Downside!D13</x:f>
        <x:v>10855200</x:v>
      </x:c>
      <x:c r="R213" s="599" t="str">
        <x:v>Downside tab</x:v>
      </x:c>
      <x:c r="S213" s="599" t="str">
        <x:v>Equity-funding scenario; not new capex budget.</x:v>
      </x:c>
    </x:row>
    <x:row r="214" ht="17.110000610351562" hidden="0" customHeight="1">
      <x:c r="P214" s="509" t="str">
        <x:v>24-month delay</x:v>
      </x:c>
      <x:c r="Q214" s="1036" t="n">
        <x:f>E15_Downside!D14</x:f>
        <x:v>21710400</x:v>
      </x:c>
      <x:c r="R214" s="510" t="str">
        <x:v>Downside tab</x:v>
      </x:c>
      <x:c r="S214" s="510" t="str">
        <x:v>Actual extension fees could be additional.</x:v>
      </x:c>
    </x:row>
    <x:row r="215" ht="16" hidden="0" customHeight="1">
      <x:c r="P215" s="684" t="str">
        <x:v>TENANT INTERRUPTION | CASH REQUIREMENT</x:v>
      </x:c>
      <x:c r="Q215" s="1047"/>
      <x:c r="R215" s="685" t="str"/>
      <x:c r="S215" s="685" t="str"/>
    </x:row>
    <x:row r="216" ht="17.110000610351562" hidden="0" customHeight="1">
      <x:c r="P216" s="509" t="str">
        <x:v>Rent-interruption assumption</x:v>
      </x:c>
      <x:c r="Q216" s="1066" t="n">
        <x:f>E15_Downside!D16</x:f>
        <x:v>3</x:v>
      </x:c>
      <x:c r="R216" s="510" t="str">
        <x:v>Downside tab</x:v>
      </x:c>
      <x:c r="S216" s="510" t="str">
        <x:v>Months without collection.</x:v>
      </x:c>
    </x:row>
    <x:row r="217" ht="17.110000610351562" hidden="0" customHeight="1">
      <x:c r="P217" s="597" t="str">
        <x:v>Electricity recovery delay</x:v>
      </x:c>
      <x:c r="Q217" s="1125" t="n">
        <x:f>E15_Downside!D17</x:f>
        <x:v>1</x:v>
      </x:c>
      <x:c r="R217" s="599" t="str">
        <x:v>Downside tab</x:v>
      </x:c>
      <x:c r="S217" s="599" t="str">
        <x:v>Utility bills funded but unrecovered.</x:v>
      </x:c>
    </x:row>
    <x:row r="218" ht="17.110000610351562" hidden="0" customHeight="1">
      <x:c r="P218" s="509" t="str">
        <x:v>Re-leasing/retrofit assumption</x:v>
      </x:c>
      <x:c r="Q218" s="1036" t="n">
        <x:f>E15_Downside!D18</x:f>
        <x:v>5000000</x:v>
      </x:c>
      <x:c r="R218" s="510" t="str">
        <x:v>Downside tab</x:v>
      </x:c>
      <x:c r="S218" s="510" t="str">
        <x:v>Not an engineer's quotation.</x:v>
      </x:c>
    </x:row>
    <x:row r="219" ht="17.110000610351562" hidden="0" customHeight="1">
      <x:c r="P219" s="597" t="str">
        <x:v>Fixed property cost during gap</x:v>
      </x:c>
      <x:c r="Q219" s="1037" t="n">
        <x:f>E15_Downside!D19</x:f>
        <x:v>1812500</x:v>
      </x:c>
      <x:c r="R219" s="599" t="str">
        <x:v>Downside tab</x:v>
      </x:c>
      <x:c r="S219" s="599" t="str">
        <x:v>Cannot turn all expenses off.</x:v>
      </x:c>
    </x:row>
    <x:row r="220" ht="17.110000610351562" hidden="0" customHeight="1">
      <x:c r="P220" s="509" t="str">
        <x:v>Debt service + reserve during gap</x:v>
      </x:c>
      <x:c r="Q220" s="1036" t="n">
        <x:f>E15_Downside!D20</x:f>
        <x:v>2296450</x:v>
      </x:c>
      <x:c r="R220" s="510" t="str">
        <x:v>Downside tab</x:v>
      </x:c>
      <x:c r="S220" s="510" t="str">
        <x:v>Contractual debt clock keeps running.</x:v>
      </x:c>
    </x:row>
    <x:row r="221" ht="17.110000610351562" hidden="0" customHeight="1">
      <x:c r="P221" s="597" t="str">
        <x:v>Unrecovered power cash</x:v>
      </x:c>
      <x:c r="Q221" s="1037" t="n">
        <x:f>E15_Downside!D21</x:f>
        <x:v>1341769.2</x:v>
      </x:c>
      <x:c r="R221" s="599" t="str">
        <x:v>Downside tab</x:v>
      </x:c>
      <x:c r="S221" s="599" t="str">
        <x:v>Cash timing/collection exposure.</x:v>
      </x:c>
    </x:row>
    <x:row r="222" ht="17.110000610351562" hidden="0" customHeight="1">
      <x:c r="P222" s="509" t="str">
        <x:v>Re-leasing/retrofit costs</x:v>
      </x:c>
      <x:c r="Q222" s="1036" t="n">
        <x:f>E15_Downside!D22</x:f>
        <x:v>5000000</x:v>
      </x:c>
      <x:c r="R222" s="510" t="str">
        <x:v>Downside tab</x:v>
      </x:c>
      <x:c r="S222" s="510" t="str">
        <x:v>Illustrative one-time bill.</x:v>
      </x:c>
    </x:row>
    <x:row r="223" ht="17.110000610351562" hidden="0" customHeight="1">
      <x:c r="P223" s="597" t="str">
        <x:v>TOTAL ADDITIONAL CASH NEEDED</x:v>
      </x:c>
      <x:c r="Q223" s="1037" t="n">
        <x:f>E15_Downside!D23</x:f>
        <x:v>10450719.2</x:v>
      </x:c>
      <x:c r="R223" s="599" t="str">
        <x:v>Downside tab</x:v>
      </x:c>
      <x:c r="S223" s="599" t="str">
        <x:v>Separate from forfeited rent comparison.</x:v>
      </x:c>
    </x:row>
    <x:row r="224" ht="16" hidden="0" customHeight="1">
      <x:c r="P224" s="684" t="str">
        <x:v>REFINANCE SCREEN | END OF YEAR FIVE</x:v>
      </x:c>
      <x:c r="Q224" s="1047"/>
      <x:c r="R224" s="685" t="str"/>
      <x:c r="S224" s="685" t="str"/>
    </x:row>
    <x:row r="225" ht="17.110000610351562" hidden="0" customHeight="1">
      <x:c r="P225" s="597" t="str">
        <x:v>7% appraisal cap | new debt capacity</x:v>
      </x:c>
      <x:c r="Q225" s="1037" t="n">
        <x:f>E15_Downside!D25</x:f>
        <x:v>155437115.81534714</x:v>
      </x:c>
      <x:c r="R225" s="599" t="str">
        <x:v>Downside tab</x:v>
      </x:c>
      <x:c r="S225" s="599" t="str">
        <x:v>Subject to both LTV and coverage.</x:v>
      </x:c>
    </x:row>
    <x:row r="226" ht="17.110000610351562" hidden="0" customHeight="1">
      <x:c r="P226" s="509" t="str">
        <x:v>9% appraisal cap | new debt capacity</x:v>
      </x:c>
      <x:c r="Q226" s="1036" t="n">
        <x:f>E15_Downside!D26</x:f>
        <x:v>135320073.22393918</x:v>
      </x:c>
      <x:c r="R226" s="510" t="str">
        <x:v>Downside tab</x:v>
      </x:c>
      <x:c r="S226" s="510" t="str">
        <x:v>Borrowing capacity can be constrained.</x:v>
      </x:c>
    </x:row>
    <x:row r="227" ht="17.110000610351562" hidden="0" customHeight="1">
      <x:c r="P227" s="597" t="str">
        <x:v>11% appraisal cap | principal gap</x:v>
      </x:c>
      <x:c r="Q227" s="1037" t="n">
        <x:f>E15_Downside!D27</x:f>
        <x:v>6223576.453140676</x:v>
      </x:c>
      <x:c r="R227" s="599" t="str">
        <x:v>Downside tab</x:v>
      </x:c>
      <x:c r="S227" s="599" t="str">
        <x:v>Additional equity funding at maturity.</x:v>
      </x:c>
    </x:row>
    <x:row r="228" ht="17.110000610351562" hidden="0" customHeight="1">
      <x:c r="P228" s="509" t="str">
        <x:v>11% appraisal cap | incl. fees</x:v>
      </x:c>
      <x:c r="Q228" s="1036" t="n">
        <x:f>E15_Downside!D28</x:f>
        <x:v>7330740.688609269</x:v>
      </x:c>
      <x:c r="R228" s="510" t="str">
        <x:v>Downside tab</x:v>
      </x:c>
      <x:c r="S228" s="510" t="str">
        <x:v>Debt payoff shortfall plus origination cash.</x:v>
      </x:c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33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4:F24"/>
    <x:mergeCell ref="C30:F30"/>
    <x:mergeCell ref="C3:D3"/>
    <x:mergeCell ref="C4:F4"/>
    <x:mergeCell ref="C5:F5"/>
    <x:mergeCell ref="C7:F7"/>
    <x:mergeCell ref="C11:F11"/>
    <x:mergeCell ref="C15:F15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15:S215"/>
    <x:mergeCell ref="P224:S224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4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8.765625" customWidth="1"/>
    <x:col min="4" max="4" width="36.23046875" customWidth="1"/>
    <x:col min="5" max="5" width="21.84375" customWidth="1"/>
    <x:col min="6" max="6" width="28.765625" customWidth="1"/>
    <x:col min="7" max="7" width="45" customWidth="1"/>
    <x:col min="8" max="8" width="8.76562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2"/>
      <x:c r="G1" s="2"/>
      <x:c r="H1" s="3"/>
    </x:row>
    <x:row r="2" ht="12" customHeight="1">
      <x:c r="A2" s="4"/>
      <x:c r="B2" s="5"/>
      <x:c r="C2" s="5"/>
      <x:c r="D2" s="5"/>
      <x:c r="E2" s="5"/>
      <x:c r="F2" s="5"/>
      <x:c r="G2" s="5"/>
      <x:c r="H2" s="6"/>
    </x:row>
    <x:row r="3" ht="34" customHeight="1">
      <x:c r="A3" s="4"/>
      <x:c r="B3" s="5"/>
      <x:c r="C3" s="617" t="s">
        <x:v>1632</x:v>
      </x:c>
      <x:c r="D3" s="618"/>
      <x:c r="E3" s="618"/>
      <x:c r="F3" s="618"/>
      <x:c r="G3" s="618"/>
      <x:c r="H3" s="618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tr">
        <x:v>Every value is formula-linked. Detailed source cells remain here for audit; Word uses the stable model name and readable tab references.</x:v>
      </x:c>
      <x:c r="D4" s="569"/>
      <x:c r="E4" s="569"/>
      <x:c r="F4" s="569"/>
      <x:c r="G4" s="569"/>
      <x:c r="H4" s="569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1633</x:v>
      </x:c>
      <x:c r="D5" s="633"/>
      <x:c r="E5" s="633"/>
      <x:c r="F5" s="633"/>
      <x:c r="G5" s="633"/>
      <x:c r="H5" s="633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871</x:v>
      </x:c>
      <x:c r="D6" s="623" t="s">
        <x:v>1634</x:v>
      </x:c>
      <x:c r="E6" s="623" t="s">
        <x:v>1635</x:v>
      </x:c>
      <x:c r="F6" s="623" t="s">
        <x:v>1636</x:v>
      </x:c>
      <x:c r="G6" s="623" t="s">
        <x:v>1637</x:v>
      </x:c>
      <x:c r="H6" s="623" t="s">
        <x:v>1638</x:v>
      </x:c>
      <x:c r="I6" s="556"/>
      <x:c r="J6" s="556"/>
      <x:c r="K6" s="556"/>
      <x:c r="L6" s="556"/>
      <x:c r="M6" s="556"/>
      <x:c r="N6" s="556"/>
    </x:row>
    <x:row r="7" ht="35.599998474121094" customHeight="1">
      <x:c r="A7" s="4"/>
      <x:c r="B7" s="5"/>
      <x:c r="C7" s="454" t="s">
        <x:v>1639</x:v>
      </x:c>
      <x:c r="D7" s="453" t="str">
        <x:v>Inputs!D7</x:v>
      </x:c>
      <x:c r="E7" s="643" t="n">
        <x:f>Inputs!D7</x:f>
        <x:v>10</x:v>
      </x:c>
      <x:c r="F7" s="453" t="str">
        <x:v>Exact live formula is shown in the source column; inspect the named working tab for the assumption and units.</x:v>
      </x:c>
      <x:c r="G7" s="453" t="s">
        <x:v>1640</x:v>
      </x:c>
      <x:c r="H7" s="453" t="s">
        <x:v>1641</x:v>
      </x:c>
      <x:c r="I7" s="579"/>
      <x:c r="J7" s="579"/>
      <x:c r="K7" s="579"/>
      <x:c r="L7" s="579"/>
      <x:c r="M7" s="579"/>
      <x:c r="N7" s="579"/>
    </x:row>
    <x:row r="8" ht="35.599998474121094" customHeight="1">
      <x:c r="A8" s="4"/>
      <x:c r="B8" s="5"/>
      <x:c r="C8" s="451" t="s">
        <x:v>1642</x:v>
      </x:c>
      <x:c r="D8" s="450" t="str">
        <x:v>Development!D25</x:v>
      </x:c>
      <x:c r="E8" s="449" t="n">
        <x:f>Development!D25</x:f>
        <x:v>194900000</x:v>
      </x:c>
      <x:c r="F8" s="450" t="str">
        <x:v>Exact live formula is shown in the source column; inspect the named working tab for the assumption and units.</x:v>
      </x:c>
      <x:c r="G8" s="450" t="s">
        <x:v>1643</x:v>
      </x:c>
      <x:c r="H8" s="450" t="s">
        <x:v>1644</x:v>
      </x:c>
      <x:c r="I8" s="579"/>
      <x:c r="J8" s="579"/>
      <x:c r="K8" s="579"/>
      <x:c r="L8" s="579"/>
      <x:c r="M8" s="579"/>
      <x:c r="N8" s="579"/>
    </x:row>
    <x:row r="9" ht="35.599998474121094" customHeight="1">
      <x:c r="A9" s="4"/>
      <x:c r="B9" s="5"/>
      <x:c r="C9" s="644" t="s">
        <x:v>1645</x:v>
      </x:c>
      <x:c r="D9" s="645" t="str">
        <x:v>Development!D31</x:v>
      </x:c>
      <x:c r="E9" s="32" t="n">
        <x:f>Development!D31</x:f>
        <x:v>207728600</x:v>
      </x:c>
      <x:c r="F9" s="645" t="str">
        <x:v>Exact live formula is shown in the source column; inspect the named working tab for the assumption and units.</x:v>
      </x:c>
      <x:c r="G9" s="645" t="s">
        <x:v>1646</x:v>
      </x:c>
      <x:c r="H9" s="645" t="s">
        <x:v>1647</x:v>
      </x:c>
      <x:c r="I9" s="579"/>
      <x:c r="J9" s="579"/>
      <x:c r="K9" s="579"/>
      <x:c r="L9" s="579"/>
      <x:c r="M9" s="579"/>
      <x:c r="N9" s="579"/>
    </x:row>
    <x:row r="10" ht="35.599998474121094" customHeight="1">
      <x:c r="A10" s="4"/>
      <x:c r="B10" s="5"/>
      <x:c r="C10" s="451" t="s">
        <x:v>1648</x:v>
      </x:c>
      <x:c r="D10" s="450" t="str">
        <x:v>Development!D27</x:v>
      </x:c>
      <x:c r="E10" s="449" t="n">
        <x:f>Development!D27</x:f>
        <x:v>116940000</x:v>
      </x:c>
      <x:c r="F10" s="450" t="str">
        <x:v>Exact live formula is shown in the source column; inspect the named working tab for the assumption and units.</x:v>
      </x:c>
      <x:c r="G10" s="450" t="s">
        <x:v>1649</x:v>
      </x:c>
      <x:c r="H10" s="450" t="s">
        <x:v>1650</x:v>
      </x:c>
      <x:c r="I10" s="579"/>
      <x:c r="J10" s="579"/>
      <x:c r="K10" s="579"/>
      <x:c r="L10" s="579"/>
      <x:c r="M10" s="579"/>
      <x:c r="N10" s="579"/>
    </x:row>
    <x:row r="11" ht="35.599998474121094" customHeight="1">
      <x:c r="A11" s="4"/>
      <x:c r="B11" s="5"/>
      <x:c r="C11" s="454" t="s">
        <x:v>1651</x:v>
      </x:c>
      <x:c r="D11" s="453" t="str">
        <x:v>Development!D32</x:v>
      </x:c>
      <x:c r="E11" s="452" t="n">
        <x:f>Development!D32</x:f>
        <x:v>90788600</x:v>
      </x:c>
      <x:c r="F11" s="453" t="str">
        <x:v>Exact live formula is shown in the source column; inspect the named working tab for the assumption and units.</x:v>
      </x:c>
      <x:c r="G11" s="453" t="s">
        <x:v>1652</x:v>
      </x:c>
      <x:c r="H11" s="453" t="s">
        <x:v>1650</x:v>
      </x:c>
      <x:c r="I11" s="579"/>
      <x:c r="J11" s="579"/>
      <x:c r="K11" s="579"/>
      <x:c r="L11" s="579"/>
      <x:c r="M11" s="579"/>
      <x:c r="N11" s="579"/>
    </x:row>
    <x:row r="12" ht="35.599998474121094" customHeight="1">
      <x:c r="A12" s="4"/>
      <x:c r="B12" s="5"/>
      <x:c r="C12" s="451" t="s">
        <x:v>1653</x:v>
      </x:c>
      <x:c r="D12" s="450" t="str">
        <x:v>Construction!G33</x:v>
      </x:c>
      <x:c r="E12" s="449" t="n">
        <x:f>Construction!G33</x:f>
        <x:v>11659200.000000002</x:v>
      </x:c>
      <x:c r="F12" s="450" t="str">
        <x:v>Exact live formula is shown in the source column; inspect the named working tab for the assumption and units.</x:v>
      </x:c>
      <x:c r="G12" s="450" t="s">
        <x:v>1654</x:v>
      </x:c>
      <x:c r="H12" s="450" t="s">
        <x:v>1650</x:v>
      </x:c>
      <x:c r="I12" s="579"/>
      <x:c r="J12" s="579"/>
      <x:c r="K12" s="579"/>
      <x:c r="L12" s="579"/>
      <x:c r="M12" s="579"/>
      <x:c r="N12" s="579"/>
    </x:row>
    <x:row r="13" ht="35.599998474121094" customHeight="1">
      <x:c r="A13" s="4"/>
      <x:c r="B13" s="5"/>
      <x:c r="C13" s="454" t="s">
        <x:v>1655</x:v>
      </x:c>
      <x:c r="D13" s="453" t="str">
        <x:v>Landlord!D9</x:v>
      </x:c>
      <x:c r="E13" s="452" t="n">
        <x:f>Landlord!D9</x:f>
        <x:v>27000000</x:v>
      </x:c>
      <x:c r="F13" s="453" t="str">
        <x:v>Exact live formula is shown in the source column; inspect the named working tab for the assumption and units.</x:v>
      </x:c>
      <x:c r="G13" s="453" t="s">
        <x:v>1656</x:v>
      </x:c>
      <x:c r="H13" s="453" t="s">
        <x:v>1657</x:v>
      </x:c>
      <x:c r="I13" s="579"/>
      <x:c r="J13" s="579"/>
      <x:c r="K13" s="579"/>
      <x:c r="L13" s="579"/>
      <x:c r="M13" s="579"/>
      <x:c r="N13" s="579"/>
    </x:row>
    <x:row r="14" ht="35.599998474121094" customHeight="1">
      <x:c r="A14" s="4"/>
      <x:c r="B14" s="5"/>
      <x:c r="C14" s="451" t="s">
        <x:v>1658</x:v>
      </x:c>
      <x:c r="D14" s="450" t="str">
        <x:v>Power!D18</x:v>
      </x:c>
      <x:c r="E14" s="449" t="n">
        <x:f>Power!D18</x:f>
        <x:v>16101230.4</x:v>
      </x:c>
      <x:c r="F14" s="450" t="str">
        <x:v>Exact live formula is shown in the source column; inspect the named working tab for the assumption and units.</x:v>
      </x:c>
      <x:c r="G14" s="450" t="s">
        <x:v>1659</x:v>
      </x:c>
      <x:c r="H14" s="450" t="s">
        <x:v>1660</x:v>
      </x:c>
      <x:c r="I14" s="579"/>
      <x:c r="J14" s="579"/>
      <x:c r="K14" s="579"/>
      <x:c r="L14" s="579"/>
      <x:c r="M14" s="579"/>
      <x:c r="N14" s="579"/>
    </x:row>
    <x:row r="15" ht="35.599998474121094" customHeight="1">
      <x:c r="A15" s="4"/>
      <x:c r="B15" s="5"/>
      <x:c r="C15" s="644" t="s">
        <x:v>1661</x:v>
      </x:c>
      <x:c r="D15" s="645" t="str">
        <x:v>Landlord!D21</x:v>
      </x:c>
      <x:c r="E15" s="32" t="n">
        <x:f>Landlord!D21</x:f>
        <x:v>19750000</x:v>
      </x:c>
      <x:c r="F15" s="645" t="str">
        <x:v>Exact live formula is shown in the source column; inspect the named working tab for the assumption and units.</x:v>
      </x:c>
      <x:c r="G15" s="645" t="s">
        <x:v>1662</x:v>
      </x:c>
      <x:c r="H15" s="645" t="s">
        <x:v>1663</x:v>
      </x:c>
      <x:c r="I15" s="579"/>
      <x:c r="J15" s="579"/>
      <x:c r="K15" s="579"/>
      <x:c r="L15" s="579"/>
      <x:c r="M15" s="579"/>
      <x:c r="N15" s="579"/>
    </x:row>
    <x:row r="16" ht="35.599998474121094" customHeight="1">
      <x:c r="A16" s="4"/>
      <x:c r="B16" s="5"/>
      <x:c r="C16" s="451" t="s">
        <x:v>1664</x:v>
      </x:c>
      <x:c r="D16" s="450" t="str">
        <x:v>Landlord!D23</x:v>
      </x:c>
      <x:c r="E16" s="449" t="n">
        <x:f>Landlord!D23</x:f>
        <x:v>18750000</x:v>
      </x:c>
      <x:c r="F16" s="450" t="str">
        <x:v>Exact live formula is shown in the source column; inspect the named working tab for the assumption and units.</x:v>
      </x:c>
      <x:c r="G16" s="450" t="s">
        <x:v>1665</x:v>
      </x:c>
      <x:c r="H16" s="450" t="s">
        <x:v>1650</x:v>
      </x:c>
      <x:c r="I16" s="579"/>
      <x:c r="J16" s="579"/>
      <x:c r="K16" s="579"/>
      <x:c r="L16" s="579"/>
      <x:c r="M16" s="579"/>
      <x:c r="N16" s="579"/>
    </x:row>
    <x:row r="17" ht="35.599998474121094" customHeight="1">
      <x:c r="A17" s="4"/>
      <x:c r="B17" s="5"/>
      <x:c r="C17" s="644" t="s">
        <x:v>1666</x:v>
      </x:c>
      <x:c r="D17" s="645" t="str">
        <x:v>Landlord!D25</x:v>
      </x:c>
      <x:c r="E17" s="32" t="n">
        <x:f>Landlord!D25</x:f>
        <x:v>10564200</x:v>
      </x:c>
      <x:c r="F17" s="645" t="str">
        <x:v>Exact live formula is shown in the source column; inspect the named working tab for the assumption and units.</x:v>
      </x:c>
      <x:c r="G17" s="645" t="s">
        <x:v>1667</x:v>
      </x:c>
      <x:c r="H17" s="645" t="s">
        <x:v>1650</x:v>
      </x:c>
      <x:c r="I17" s="579"/>
      <x:c r="J17" s="579"/>
      <x:c r="K17" s="579"/>
      <x:c r="L17" s="579"/>
      <x:c r="M17" s="579"/>
      <x:c r="N17" s="579"/>
    </x:row>
    <x:row r="18" ht="35.599998474121094" customHeight="1">
      <x:c r="A18" s="4"/>
      <x:c r="B18" s="5"/>
      <x:c r="C18" s="451" t="s">
        <x:v>1668</x:v>
      </x:c>
      <x:c r="D18" s="450" t="str">
        <x:v>Landlord!D29</x:v>
      </x:c>
      <x:c r="E18" s="646" t="n">
        <x:f>Landlord!D29</x:f>
        <x:v>0.09507597894560499</x:v>
      </x:c>
      <x:c r="F18" s="450" t="str">
        <x:v>Exact live formula is shown in the source column; inspect the named working tab for the assumption and units.</x:v>
      </x:c>
      <x:c r="G18" s="450" t="s">
        <x:v>1669</x:v>
      </x:c>
      <x:c r="H18" s="450" t="s">
        <x:v>1650</x:v>
      </x:c>
      <x:c r="I18" s="579"/>
      <x:c r="J18" s="579"/>
      <x:c r="K18" s="579"/>
      <x:c r="L18" s="579"/>
      <x:c r="M18" s="579"/>
      <x:c r="N18" s="579"/>
    </x:row>
    <x:row r="19" ht="35.599998474121094" customHeight="1">
      <x:c r="A19" s="4"/>
      <x:c r="B19" s="5"/>
      <x:c r="C19" s="454" t="s">
        <x:v>1670</x:v>
      </x:c>
      <x:c r="D19" s="453" t="str">
        <x:v>Landlord!D28</x:v>
      </x:c>
      <x:c r="E19" s="647" t="n">
        <x:f>Landlord!D28</x:f>
        <x:v>2.2905519313933884</x:v>
      </x:c>
      <x:c r="F19" s="453" t="str">
        <x:v>Exact live formula is shown in the source column; inspect the named working tab for the assumption and units.</x:v>
      </x:c>
      <x:c r="G19" s="453" t="s">
        <x:v>1671</x:v>
      </x:c>
      <x:c r="H19" s="453" t="s">
        <x:v>1650</x:v>
      </x:c>
      <x:c r="I19" s="579"/>
      <x:c r="J19" s="579"/>
      <x:c r="K19" s="579"/>
      <x:c r="L19" s="579"/>
      <x:c r="M19" s="579"/>
      <x:c r="N19" s="579"/>
    </x:row>
    <x:row r="20" ht="35.599998474121094" customHeight="1">
      <x:c r="A20" s="4"/>
      <x:c r="B20" s="5"/>
      <x:c r="C20" s="644" t="s">
        <x:v>1672</x:v>
      </x:c>
      <x:c r="D20" s="645" t="str">
        <x:v>'Monthly CF'!D154</x:v>
      </x:c>
      <x:c r="E20" s="34" t="n">
        <x:f>'Monthly CF'!D154</x:f>
        <x:v>0.12524132825920375</x:v>
      </x:c>
      <x:c r="F20" s="645" t="str">
        <x:v>Exact live formula is shown in the source column; inspect the named working tab for the assumption and units.</x:v>
      </x:c>
      <x:c r="G20" s="645" t="s">
        <x:v>1673</x:v>
      </x:c>
      <x:c r="H20" s="645" t="s">
        <x:v>1650</x:v>
      </x:c>
      <x:c r="I20" s="579"/>
      <x:c r="J20" s="579"/>
      <x:c r="K20" s="579"/>
      <x:c r="L20" s="579"/>
      <x:c r="M20" s="579"/>
      <x:c r="N20" s="579"/>
    </x:row>
    <x:row r="21" ht="35.599998474121094" customHeight="1">
      <x:c r="A21" s="4"/>
      <x:c r="B21" s="5"/>
      <x:c r="C21" s="644" t="s">
        <x:v>1674</x:v>
      </x:c>
      <x:c r="D21" s="645" t="str">
        <x:v>'Monthly CF'!D155</x:v>
      </x:c>
      <x:c r="E21" s="34" t="n">
        <x:f>'Monthly CF'!D155</x:f>
        <x:v>0.16809156810684023</x:v>
      </x:c>
      <x:c r="F21" s="645" t="str">
        <x:v>Exact live formula is shown in the source column; inspect the named working tab for the assumption and units.</x:v>
      </x:c>
      <x:c r="G21" s="645" t="s">
        <x:v>1675</x:v>
      </x:c>
      <x:c r="H21" s="645" t="s">
        <x:v>1650</x:v>
      </x:c>
      <x:c r="I21" s="579"/>
      <x:c r="J21" s="579"/>
      <x:c r="K21" s="579"/>
      <x:c r="L21" s="579"/>
      <x:c r="M21" s="579"/>
      <x:c r="N21" s="579"/>
    </x:row>
    <x:row r="22" ht="35.599998474121094" customHeight="1">
      <x:c r="A22" s="4"/>
      <x:c r="B22" s="5"/>
      <x:c r="C22" s="451" t="s">
        <x:v>1676</x:v>
      </x:c>
      <x:c r="D22" s="450" t="str">
        <x:v>'Monthly CF'!D156</x:v>
      </x:c>
      <x:c r="E22" s="649" t="n">
        <x:f>'Monthly CF'!D156</x:f>
        <x:v>3.9275938676797235</x:v>
      </x:c>
      <x:c r="F22" s="450" t="str">
        <x:v>Exact live formula is shown in the source column; inspect the named working tab for the assumption and units.</x:v>
      </x:c>
      <x:c r="G22" s="450" t="s">
        <x:v>1677</x:v>
      </x:c>
      <x:c r="H22" s="450" t="s">
        <x:v>1650</x:v>
      </x:c>
      <x:c r="I22" s="579"/>
      <x:c r="J22" s="579"/>
      <x:c r="K22" s="579"/>
      <x:c r="L22" s="579"/>
      <x:c r="M22" s="579"/>
      <x:c r="N22" s="579"/>
    </x:row>
    <x:row r="23" ht="35.599998474121094" customHeight="1">
      <x:c r="A23" s="4"/>
      <x:c r="B23" s="5"/>
      <x:c r="C23" s="454" t="s">
        <x:v>1678</x:v>
      </x:c>
      <x:c r="D23" s="453" t="str">
        <x:v>Landlord!N21</x:v>
      </x:c>
      <x:c r="E23" s="452" t="n">
        <x:f>Landlord!N21</x:f>
        <x:v>24818888.943056755</x:v>
      </x:c>
      <x:c r="F23" s="453" t="str">
        <x:v>Exact live formula is shown in the source column; inspect the named working tab for the assumption and units.</x:v>
      </x:c>
      <x:c r="G23" s="453" t="s">
        <x:v>1679</x:v>
      </x:c>
      <x:c r="H23" s="453" t="s">
        <x:v>1650</x:v>
      </x:c>
      <x:c r="I23" s="579"/>
      <x:c r="J23" s="579"/>
      <x:c r="K23" s="579"/>
      <x:c r="L23" s="579"/>
      <x:c r="M23" s="579"/>
      <x:c r="N23" s="579"/>
    </x:row>
    <x:row r="24" ht="35.599998474121094" customHeight="1">
      <x:c r="A24" s="4"/>
      <x:c r="B24" s="5"/>
      <x:c r="C24" s="451" t="s">
        <x:v>1680</x:v>
      </x:c>
      <x:c r="D24" s="450" t="str">
        <x:v>Landlord!M35</x:v>
      </x:c>
      <x:c r="E24" s="449" t="n">
        <x:f>Landlord!M35</x:f>
        <x:v>354555556.3293822</x:v>
      </x:c>
      <x:c r="F24" s="450" t="str">
        <x:v>Exact live formula is shown in the source column; inspect the named working tab for the assumption and units.</x:v>
      </x:c>
      <x:c r="G24" s="450" t="s">
        <x:v>1681</x:v>
      </x:c>
      <x:c r="H24" s="450" t="s">
        <x:v>1650</x:v>
      </x:c>
      <x:c r="I24" s="579"/>
      <x:c r="J24" s="579"/>
      <x:c r="K24" s="579"/>
      <x:c r="L24" s="579"/>
      <x:c r="M24" s="579"/>
      <x:c r="N24" s="579"/>
    </x:row>
    <x:row r="25" ht="35.599998474121094" customHeight="1">
      <x:c r="A25" s="4"/>
      <x:c r="B25" s="5"/>
      <x:c r="C25" s="454" t="s">
        <x:v>1682</x:v>
      </x:c>
      <x:c r="D25" s="453" t="str">
        <x:v>Landlord!M38</x:v>
      </x:c>
      <x:c r="E25" s="452" t="n">
        <x:f>Landlord!M38</x:f>
        <x:v>230524445.20279455</x:v>
      </x:c>
      <x:c r="F25" s="453" t="str">
        <x:v>Exact live formula is shown in the source column; inspect the named working tab for the assumption and units.</x:v>
      </x:c>
      <x:c r="G25" s="453" t="s">
        <x:v>1683</x:v>
      </x:c>
      <x:c r="H25" s="453" t="s">
        <x:v>1650</x:v>
      </x:c>
      <x:c r="I25" s="579"/>
      <x:c r="J25" s="579"/>
      <x:c r="K25" s="579"/>
      <x:c r="L25" s="579"/>
      <x:c r="M25" s="579"/>
      <x:c r="N25" s="579"/>
    </x:row>
    <x:row r="26" ht="35.599998474121094" customHeight="1">
      <x:c r="A26" s="4"/>
      <x:c r="B26" s="5"/>
      <x:c r="C26" s="451" t="s">
        <x:v>1684</x:v>
      </x:c>
      <x:c r="D26" s="450" t="str">
        <x:v>Power!D13</x:v>
      </x:c>
      <x:c r="E26" s="726" t="n">
        <x:f>Power!D13</x:f>
        <x:v>101265600</x:v>
      </x:c>
      <x:c r="F26" s="450" t="str">
        <x:v>Exact live formula is shown in the source column; inspect the named working tab for the assumption and units.</x:v>
      </x:c>
      <x:c r="G26" s="450" t="s">
        <x:v>1685</x:v>
      </x:c>
      <x:c r="H26" s="450" t="s">
        <x:v>1660</x:v>
      </x:c>
      <x:c r="I26" s="579"/>
      <x:c r="J26" s="579"/>
      <x:c r="K26" s="579"/>
      <x:c r="L26" s="579"/>
      <x:c r="M26" s="579"/>
      <x:c r="N26" s="579"/>
    </x:row>
    <x:row r="27" ht="35.599998474121094" customHeight="1">
      <x:c r="A27" s="4"/>
      <x:c r="B27" s="5"/>
      <x:c r="C27" s="454" t="s">
        <x:v>1686</x:v>
      </x:c>
      <x:c r="D27" s="453" t="str">
        <x:v>Power!D45</x:v>
      </x:c>
      <x:c r="E27" s="452" t="n">
        <x:f>Power!D45</x:f>
        <x:v>1012656</x:v>
      </x:c>
      <x:c r="F27" s="453" t="str">
        <x:v>Exact live formula is shown in the source column; inspect the named working tab for the assumption and units.</x:v>
      </x:c>
      <x:c r="G27" s="453" t="s">
        <x:v>1687</x:v>
      </x:c>
      <x:c r="H27" s="453" t="s">
        <x:v>1660</x:v>
      </x:c>
      <x:c r="I27" s="579"/>
      <x:c r="J27" s="579"/>
      <x:c r="K27" s="579"/>
      <x:c r="L27" s="579"/>
      <x:c r="M27" s="579"/>
      <x:c r="N27" s="579"/>
    </x:row>
    <x:row r="28" ht="35.599998474121094" customHeight="1">
      <x:c r="A28" s="4"/>
      <x:c r="B28" s="5"/>
      <x:c r="C28" s="451" t="s">
        <x:v>1688</x:v>
      </x:c>
      <x:c r="D28" s="450" t="str">
        <x:v>Integrated!D14</x:v>
      </x:c>
      <x:c r="E28" s="449" t="n">
        <x:f>Integrated!D14</x:f>
        <x:v>442728600</x:v>
      </x:c>
      <x:c r="F28" s="450" t="str">
        <x:v>Exact live formula is shown in the source column; inspect the named working tab for the assumption and units.</x:v>
      </x:c>
      <x:c r="G28" s="450" t="s">
        <x:v>1689</x:v>
      </x:c>
      <x:c r="H28" s="450" t="s">
        <x:v>82</x:v>
      </x:c>
      <x:c r="I28" s="579"/>
      <x:c r="J28" s="579"/>
      <x:c r="K28" s="579"/>
      <x:c r="L28" s="579"/>
      <x:c r="M28" s="579"/>
      <x:c r="N28" s="579"/>
    </x:row>
    <x:row r="29" ht="35.599998474121094" customHeight="1">
      <x:c r="A29" s="4"/>
      <x:c r="B29" s="5"/>
      <x:c r="C29" s="454" t="s">
        <x:v>1690</x:v>
      </x:c>
      <x:c r="D29" s="453" t="str">
        <x:v>Integrated!D31</x:v>
      </x:c>
      <x:c r="E29" s="452" t="n">
        <x:f>Integrated!D31</x:f>
        <x:v>49018769.6</x:v>
      </x:c>
      <x:c r="F29" s="453" t="str">
        <x:v>Exact live formula is shown in the source column; inspect the named working tab for the assumption and units.</x:v>
      </x:c>
      <x:c r="G29" s="453" t="s">
        <x:v>1691</x:v>
      </x:c>
      <x:c r="H29" s="453" t="s">
        <x:v>82</x:v>
      </x:c>
      <x:c r="I29" s="579"/>
      <x:c r="J29" s="579"/>
      <x:c r="K29" s="579"/>
      <x:c r="L29" s="579"/>
      <x:c r="M29" s="579"/>
      <x:c r="N29" s="579"/>
    </x:row>
    <x:row r="30" ht="35.599998474121094" customHeight="1">
      <x:c r="A30" s="4"/>
      <x:c r="B30" s="5"/>
      <x:c r="C30" s="451" t="s">
        <x:v>1692</x:v>
      </x:c>
      <x:c r="D30" s="450" t="str">
        <x:v>Integrated!E31</x:v>
      </x:c>
      <x:c r="E30" s="449" t="n">
        <x:f>Integrated!E31</x:f>
        <x:v>68768769.6</x:v>
      </x:c>
      <x:c r="F30" s="450" t="str">
        <x:v>Exact live formula is shown in the source column; inspect the named working tab for the assumption and units.</x:v>
      </x:c>
      <x:c r="G30" s="450" t="s">
        <x:v>1693</x:v>
      </x:c>
      <x:c r="H30" s="450" t="s">
        <x:v>82</x:v>
      </x:c>
      <x:c r="I30" s="579"/>
      <x:c r="J30" s="579"/>
      <x:c r="K30" s="579"/>
      <x:c r="L30" s="579"/>
      <x:c r="M30" s="579"/>
      <x:c r="N30" s="579"/>
    </x:row>
    <x:row r="31" ht="35.599998474121094" customHeight="1">
      <x:c r="A31" s="4"/>
      <x:c r="B31" s="5"/>
      <x:c r="C31" s="454" t="s">
        <x:v>1694</x:v>
      </x:c>
      <x:c r="D31" s="453" t="str">
        <x:v>Downside!F21</x:v>
      </x:c>
      <x:c r="E31" s="452" t="n">
        <x:f>Downside!F21</x:f>
        <x:v>10855200</x:v>
      </x:c>
      <x:c r="F31" s="453" t="str">
        <x:v>Exact live formula is shown in the source column; inspect the named working tab for the assumption and units.</x:v>
      </x:c>
      <x:c r="G31" s="453" t="s">
        <x:v>1695</x:v>
      </x:c>
      <x:c r="H31" s="453" t="s">
        <x:v>87</x:v>
      </x:c>
      <x:c r="I31" s="579"/>
      <x:c r="J31" s="579"/>
      <x:c r="K31" s="579"/>
      <x:c r="L31" s="579"/>
      <x:c r="M31" s="579"/>
      <x:c r="N31" s="579"/>
    </x:row>
    <x:row r="32" ht="35.599998474121094" customHeight="1">
      <x:c r="A32" s="4"/>
      <x:c r="B32" s="5"/>
      <x:c r="C32" s="451" t="s">
        <x:v>1696</x:v>
      </x:c>
      <x:c r="D32" s="450" t="str">
        <x:v>Downside!D37</x:v>
      </x:c>
      <x:c r="E32" s="449" t="n">
        <x:f>Downside!D37</x:f>
        <x:v>10450719.2</x:v>
      </x:c>
      <x:c r="F32" s="450" t="str">
        <x:v>Exact live formula is shown in the source column; inspect the named working tab for the assumption and units.</x:v>
      </x:c>
      <x:c r="G32" s="450" t="s">
        <x:v>1697</x:v>
      </x:c>
      <x:c r="H32" s="450" t="s">
        <x:v>87</x:v>
      </x:c>
      <x:c r="I32" s="579"/>
      <x:c r="J32" s="579"/>
      <x:c r="K32" s="579"/>
      <x:c r="L32" s="579"/>
      <x:c r="M32" s="579"/>
      <x:c r="N32" s="579"/>
    </x:row>
    <x:row r="33" ht="35.599998474121094" customHeight="1">
      <x:c r="A33" s="4"/>
      <x:c r="B33" s="5"/>
      <x:c r="C33" s="454" t="s">
        <x:v>1698</x:v>
      </x:c>
      <x:c r="D33" s="453" t="str">
        <x:v>'Tenant Credit'!D10</x:v>
      </x:c>
      <x:c r="E33" s="647" t="n">
        <x:f>'Tenant Credit'!D10</x:f>
        <x:v>15.340366242038217</x:v>
      </x:c>
      <x:c r="F33" s="453" t="str">
        <x:v>Exact live formula is shown in the source column; inspect the named working tab for the assumption and units.</x:v>
      </x:c>
      <x:c r="G33" s="453" t="s">
        <x:v>1699</x:v>
      </x:c>
      <x:c r="H33" s="453" t="s">
        <x:v>72</x:v>
      </x:c>
      <x:c r="I33" s="579"/>
      <x:c r="J33" s="579"/>
      <x:c r="K33" s="579"/>
      <x:c r="L33" s="579"/>
      <x:c r="M33" s="579"/>
      <x:c r="N33" s="579"/>
    </x:row>
    <x:row r="34" ht="35.599998474121094" customHeight="1">
      <x:c r="A34" s="4"/>
      <x:c r="B34" s="5"/>
      <x:c r="C34" s="451" t="s">
        <x:v>1700</x:v>
      </x:c>
      <x:c r="D34" s="450" t="str">
        <x:v>'Tenant Credit'!E10</x:v>
      </x:c>
      <x:c r="E34" s="649" t="n">
        <x:f>'Tenant Credit'!E10</x:f>
        <x:v>2.704076205212514</x:v>
      </x:c>
      <x:c r="F34" s="450" t="str">
        <x:v>Exact live formula is shown in the source column; inspect the named working tab for the assumption and units.</x:v>
      </x:c>
      <x:c r="G34" s="450" t="s">
        <x:v>1699</x:v>
      </x:c>
      <x:c r="H34" s="450" t="s">
        <x:v>72</x:v>
      </x:c>
      <x:c r="I34" s="579"/>
      <x:c r="J34" s="579"/>
      <x:c r="K34" s="579"/>
      <x:c r="L34" s="579"/>
      <x:c r="M34" s="579"/>
      <x:c r="N34" s="579"/>
    </x:row>
    <x:row r="35" ht="35.599998474121094" customHeight="1">
      <x:c r="A35" s="4"/>
      <x:c r="B35" s="5"/>
      <x:c r="C35" s="454" t="s">
        <x:v>1701</x:v>
      </x:c>
      <x:c r="D35" s="453" t="str">
        <x:v>'GMI Case'!D9</x:v>
      </x:c>
      <x:c r="E35" s="643" t="n">
        <x:f>'GMI Case'!D9</x:f>
        <x:v>668</x:v>
      </x:c>
      <x:c r="F35" s="453" t="str">
        <x:v>Exact live formula is shown in the source column; inspect the named working tab for the assumption and units.</x:v>
      </x:c>
      <x:c r="G35" s="453" t="s">
        <x:v>1702</x:v>
      </x:c>
      <x:c r="H35" s="453" t="s">
        <x:v>77</x:v>
      </x:c>
      <x:c r="I35" s="579"/>
      <x:c r="J35" s="579"/>
      <x:c r="K35" s="579"/>
      <x:c r="L35" s="579"/>
      <x:c r="M35" s="579"/>
      <x:c r="N35" s="579"/>
    </x:row>
    <x:row r="36" ht="9" customHeight="1">
      <x:c r="A36" s="4"/>
      <x:c r="B36" s="5"/>
      <x:c r="C36" s="454"/>
      <x:c r="D36" s="453"/>
      <x:c r="E36" s="453"/>
      <x:c r="F36" s="453"/>
      <x:c r="G36" s="453"/>
      <x:c r="H36" s="453"/>
      <x:c r="I36" s="579"/>
      <x:c r="J36" s="579"/>
      <x:c r="K36" s="579"/>
      <x:c r="L36" s="579"/>
      <x:c r="M36" s="579"/>
      <x:c r="N36" s="579"/>
    </x:row>
    <x:row r="37" ht="9" customHeight="1">
      <x:c r="A37" s="4"/>
      <x:c r="B37" s="5"/>
      <x:c r="C37" s="454"/>
      <x:c r="D37" s="453"/>
      <x:c r="E37" s="453"/>
      <x:c r="F37" s="453"/>
      <x:c r="G37" s="453"/>
      <x:c r="H37" s="453"/>
      <x:c r="I37" s="579"/>
      <x:c r="J37" s="579"/>
      <x:c r="K37" s="579"/>
      <x:c r="L37" s="579"/>
      <x:c r="M37" s="579"/>
      <x:c r="N37" s="579"/>
    </x:row>
    <x:row r="38" ht="9" customHeight="1">
      <x:c r="A38" s="4"/>
      <x:c r="B38" s="5"/>
      <x:c r="C38" s="454"/>
      <x:c r="D38" s="453"/>
      <x:c r="E38" s="453"/>
      <x:c r="F38" s="453"/>
      <x:c r="G38" s="453"/>
      <x:c r="H38" s="453"/>
      <x:c r="I38" s="579"/>
      <x:c r="J38" s="579"/>
      <x:c r="K38" s="579"/>
      <x:c r="L38" s="579"/>
      <x:c r="M38" s="579"/>
      <x:c r="N38" s="579"/>
    </x:row>
    <x:row r="39" ht="9" customHeight="1">
      <x:c r="A39" s="4"/>
      <x:c r="B39" s="5"/>
      <x:c r="C39" s="454"/>
      <x:c r="D39" s="453"/>
      <x:c r="E39" s="453"/>
      <x:c r="F39" s="453"/>
      <x:c r="G39" s="453"/>
      <x:c r="H39" s="453"/>
      <x:c r="I39" s="579"/>
      <x:c r="J39" s="579"/>
      <x:c r="K39" s="579"/>
      <x:c r="L39" s="579"/>
      <x:c r="M39" s="579"/>
      <x:c r="N39" s="579"/>
    </x:row>
    <x:row r="40" ht="9" customHeight="1">
      <x:c r="A40" s="4"/>
      <x:c r="B40" s="5"/>
      <x:c r="C40" s="454"/>
      <x:c r="D40" s="453"/>
      <x:c r="E40" s="453"/>
      <x:c r="F40" s="453"/>
      <x:c r="G40" s="453"/>
      <x:c r="H40" s="453"/>
      <x:c r="I40" s="579"/>
      <x:c r="J40" s="579"/>
      <x:c r="K40" s="579"/>
      <x:c r="L40" s="579"/>
      <x:c r="M40" s="579"/>
      <x:c r="N40" s="579"/>
    </x:row>
    <x:row r="41" ht="22.200000762939453" customHeight="1">
      <x:c r="A41" s="4"/>
      <x:c r="B41" s="5"/>
      <x:c r="C41" s="621" t="s">
        <x:v>1703</x:v>
      </x:c>
      <x:c r="D41" s="453"/>
      <x:c r="E41" s="453"/>
      <x:c r="F41" s="453"/>
      <x:c r="G41" s="453"/>
      <x:c r="H41" s="453"/>
      <x:c r="I41" s="579"/>
      <x:c r="J41" s="579"/>
      <x:c r="K41" s="579"/>
      <x:c r="L41" s="579"/>
      <x:c r="M41" s="579"/>
      <x:c r="N41" s="579"/>
    </x:row>
    <x:row r="42" ht="9" customHeight="1">
      <x:c r="A42" s="4"/>
      <x:c r="B42" s="5"/>
      <x:c r="C42" s="454"/>
      <x:c r="D42" s="453"/>
      <x:c r="E42" s="453"/>
      <x:c r="F42" s="453"/>
      <x:c r="G42" s="453"/>
      <x:c r="H42" s="453"/>
      <x:c r="I42" s="579"/>
      <x:c r="J42" s="579"/>
      <x:c r="K42" s="579"/>
      <x:c r="L42" s="579"/>
      <x:c r="M42" s="579"/>
      <x:c r="N42" s="579"/>
    </x:row>
    <x:row r="43" ht="22.200000762939453" customHeight="1">
      <x:c r="A43" s="7"/>
      <x:c r="B43" s="8"/>
      <x:c r="C43" s="621" t="str">
        <x:v>FILE PAIR | GII 10MW Underwriting supports the revised white paper. Report tables are dated snapshots; changing Excel does not automatically refresh Word or PDF.</x:v>
      </x:c>
      <x:c r="D43" s="453"/>
      <x:c r="E43" s="453"/>
      <x:c r="F43" s="453"/>
      <x:c r="G43" s="453"/>
      <x:c r="H43" s="453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16  |  CELL-LEVEL SOURCE TRACEABILITY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Can another analyst reproduce the headline results?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Every important number should point to an editable input, working formula or dated public source.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30.219999313354492" hidden="0" customHeight="1">
      <x:c r="P211" s="597" t="str">
        <x:v>Case capacity</x:v>
      </x:c>
      <x:c r="Q211" s="1035" t="n">
        <x:f>E7</x:f>
        <x:v>10</x:v>
      </x:c>
      <x:c r="R211" s="599" t="str">
        <x:v>Trace tab</x:v>
      </x:c>
      <x:c r="S211" s="599" t="str">
        <x:v>Inspect the named metric and its exact live formula in the working Trace table.</x:v>
      </x:c>
    </x:row>
    <x:row r="212" ht="30.219999313354492" hidden="0" customHeight="1">
      <x:c r="P212" s="509" t="str">
        <x:v>Pre-financing developer uses</x:v>
      </x:c>
      <x:c r="Q212" s="1036" t="n">
        <x:f>E8</x:f>
        <x:v>194900000</x:v>
      </x:c>
      <x:c r="R212" s="510" t="str">
        <x:v>Trace tab</x:v>
      </x:c>
      <x:c r="S212" s="510" t="str">
        <x:v>Inspect the named metric and its exact live formula in the working Trace table.</x:v>
      </x:c>
    </x:row>
    <x:row r="213" ht="30.219999313354492" hidden="0" customHeight="1">
      <x:c r="P213" s="597" t="str">
        <x:v>Total developer capital uses</x:v>
      </x:c>
      <x:c r="Q213" s="1037" t="n">
        <x:f>E9</x:f>
        <x:v>207728600</x:v>
      </x:c>
      <x:c r="R213" s="599" t="str">
        <x:v>Trace tab</x:v>
      </x:c>
      <x:c r="S213" s="599" t="str">
        <x:v>Inspect the named metric and its exact live formula in the working Trace table.</x:v>
      </x:c>
    </x:row>
    <x:row r="214" ht="30.219999313354492" hidden="0" customHeight="1">
      <x:c r="P214" s="509" t="str">
        <x:v>Loan principal</x:v>
      </x:c>
      <x:c r="Q214" s="1036" t="n">
        <x:f>E10</x:f>
        <x:v>116940000</x:v>
      </x:c>
      <x:c r="R214" s="510" t="str">
        <x:v>Trace tab</x:v>
      </x:c>
      <x:c r="S214" s="510" t="str">
        <x:v>Inspect the named metric and its exact live formula in the working Trace table.</x:v>
      </x:c>
    </x:row>
    <x:row r="215" ht="30.219999313354492" hidden="0" customHeight="1">
      <x:c r="P215" s="597" t="str">
        <x:v>Required developer equity</x:v>
      </x:c>
      <x:c r="Q215" s="1037" t="n">
        <x:f>E11</x:f>
        <x:v>90788600</x:v>
      </x:c>
      <x:c r="R215" s="599" t="str">
        <x:v>Trace tab</x:v>
      </x:c>
      <x:c r="S215" s="599" t="str">
        <x:v>Inspect the named metric and its exact live formula in the working Trace table.</x:v>
      </x:c>
    </x:row>
    <x:row r="216" ht="30.219999313354492" hidden="0" customHeight="1">
      <x:c r="P216" s="509" t="str">
        <x:v>Construction interest</x:v>
      </x:c>
      <x:c r="Q216" s="1036" t="n">
        <x:f>E12</x:f>
        <x:v>11659200.000000002</x:v>
      </x:c>
      <x:c r="R216" s="510" t="str">
        <x:v>Trace tab</x:v>
      </x:c>
      <x:c r="S216" s="510" t="str">
        <x:v>Inspect the named metric and its exact live formula in the working Trace table.</x:v>
      </x:c>
    </x:row>
    <x:row r="217" ht="30.219999313354492" hidden="0" customHeight="1">
      <x:c r="P217" s="597" t="str">
        <x:v>After-reserve coverage</x:v>
      </x:c>
      <x:c r="Q217" s="666" t="n">
        <x:f>E19</x:f>
        <x:v>2.2905519313933884</x:v>
      </x:c>
      <x:c r="R217" s="599" t="str">
        <x:v>Trace tab</x:v>
      </x:c>
      <x:c r="S217" s="599" t="str">
        <x:v>Inspect the named metric and its exact live formula in the working Trace table.</x:v>
      </x:c>
    </x:row>
    <x:row r="218" ht="30.219999313354492" hidden="0" customHeight="1">
      <x:c r="P218" s="509" t="str">
        <x:v>Annualized unlevered IRR</x:v>
      </x:c>
      <x:c r="Q218" s="611" t="n">
        <x:f>E20</x:f>
        <x:v>0.12524132825920375</x:v>
      </x:c>
      <x:c r="R218" s="510" t="str">
        <x:v>Trace tab</x:v>
      </x:c>
      <x:c r="S218" s="510" t="str">
        <x:v>Inspect the named metric and its exact live formula in the working Trace table.</x:v>
      </x:c>
    </x:row>
    <x:row r="219" ht="30.219999313354492" hidden="0" customHeight="1">
      <x:c r="P219" s="597" t="str">
        <x:v>Annualized levered IRR</x:v>
      </x:c>
      <x:c r="Q219" s="672" t="n">
        <x:f>E21</x:f>
        <x:v>0.16809156810684023</x:v>
      </x:c>
      <x:c r="R219" s="599" t="str">
        <x:v>Trace tab</x:v>
      </x:c>
      <x:c r="S219" s="599" t="str">
        <x:v>Inspect the named metric and its exact live formula in the working Trace table.</x:v>
      </x:c>
    </x:row>
    <x:row r="220" ht="30.219999313354492" hidden="0" customHeight="1">
      <x:c r="P220" s="509" t="str">
        <x:v>Equity cash multiple</x:v>
      </x:c>
      <x:c r="Q220" s="668" t="n">
        <x:f>E22</x:f>
        <x:v>3.9275938676797235</x:v>
      </x:c>
      <x:c r="R220" s="510" t="str">
        <x:v>Trace tab</x:v>
      </x:c>
      <x:c r="S220" s="510" t="str">
        <x:v>Inspect the named metric and its exact live formula in the working Trace table.</x:v>
      </x:c>
    </x:row>
    <x:row r="221" ht="30.219999313354492" hidden="0" customHeight="1">
      <x:c r="P221" s="597" t="str">
        <x:v>Gross terminal property value</x:v>
      </x:c>
      <x:c r="Q221" s="1037" t="n">
        <x:f>E24</x:f>
        <x:v>354555556.3293822</x:v>
      </x:c>
      <x:c r="R221" s="599" t="str">
        <x:v>Trace tab</x:v>
      </x:c>
      <x:c r="S221" s="599" t="str">
        <x:v>Inspect the named metric and its exact live formula in the working Trace table.</x:v>
      </x:c>
    </x:row>
    <x:row r="222" ht="30.219999313354492" hidden="0" customHeight="1">
      <x:c r="P222" s="509" t="str">
        <x:v>Net equity sale proceeds</x:v>
      </x:c>
      <x:c r="Q222" s="1036" t="n">
        <x:f>E25</x:f>
        <x:v>230524445.20279455</x:v>
      </x:c>
      <x:c r="R222" s="510" t="str">
        <x:v>Trace tab</x:v>
      </x:c>
      <x:c r="S222" s="510" t="str">
        <x:v>Inspect the named metric and its exact live formula in the working Trace table.</x:v>
      </x:c>
    </x:row>
    <x:row r="223" ht="30.219999313354492" hidden="0" customHeight="1">
      <x:c r="P223" s="597" t="str">
        <x:v>12-month delay added cash</x:v>
      </x:c>
      <x:c r="Q223" s="1037" t="n">
        <x:f>E31</x:f>
        <x:v>10855200</x:v>
      </x:c>
      <x:c r="R223" s="599" t="str">
        <x:v>Trace tab</x:v>
      </x:c>
      <x:c r="S223" s="599" t="str">
        <x:v>Inspect the named metric and its exact live formula in the working Trace table.</x:v>
      </x:c>
    </x:row>
    <x:row r="224" ht="30.219999313354492" hidden="0" customHeight="1">
      <x:c r="P224" s="509" t="str">
        <x:v>Tenant-interruption cash demand</x:v>
      </x:c>
      <x:c r="Q224" s="1036" t="n">
        <x:f>E32</x:f>
        <x:v>10450719.2</x:v>
      </x:c>
      <x:c r="R224" s="510" t="str">
        <x:v>Trace tab</x:v>
      </x:c>
      <x:c r="S224" s="510" t="str">
        <x:v>Inspect the named metric and its exact live formula in the working Trace table.</x:v>
      </x:c>
    </x:row>
    <x:row r="225" ht="2" customHeight="1">
      <x:c r="P225" s="509"/>
      <x:c r="Q225" s="510"/>
      <x:c r="R225" s="510"/>
      <x:c r="S225" s="510"/>
    </x:row>
    <x:row r="226" ht="2" customHeight="1">
      <x:c r="P226" s="509"/>
      <x:c r="Q226" s="510"/>
      <x:c r="R226" s="510"/>
      <x:c r="S226" s="510"/>
    </x:row>
    <x:row r="227" ht="2" customHeight="1">
      <x:c r="P227" s="509"/>
      <x:c r="Q227" s="5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34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:H3"/>
    <x:mergeCell ref="C4:H4"/>
    <x:mergeCell ref="C5:H5"/>
    <x:mergeCell ref="C41:H41"/>
    <x:mergeCell ref="C43:H43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5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1704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1705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1706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1707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168</x:v>
      </x:c>
      <x:c r="D12" s="985" t="n">
        <x:f>Trace!E7</x:f>
        <x:v>10</x:v>
      </x:c>
      <x:c r="E12" s="450" t="str">
        <x:v>Trace tab</x:v>
      </x:c>
      <x:c r="F12" s="450" t="str">
        <x:v>Read: Inputs tab. Live source: Inputs!D7.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1708</x:v>
      </x:c>
      <x:c r="D13" s="901" t="n">
        <x:f>Trace!E8</x:f>
        <x:v>194900000</x:v>
      </x:c>
      <x:c r="E13" s="453" t="str">
        <x:v>Trace tab</x:v>
      </x:c>
      <x:c r="F13" s="453" t="str">
        <x:v>Read: Development tab. Live source: Development!D25.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1709</x:v>
      </x:c>
      <x:c r="D14" s="913" t="n">
        <x:f>Trace!E9</x:f>
        <x:v>207728600</x:v>
      </x:c>
      <x:c r="E14" s="450" t="str">
        <x:v>Trace tab</x:v>
      </x:c>
      <x:c r="F14" s="450" t="str">
        <x:v>Read: Development tab. Live source: Development!D31.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1710</x:v>
      </x:c>
      <x:c r="D15" s="901" t="n">
        <x:f>Trace!E10</x:f>
        <x:v>116940000</x:v>
      </x:c>
      <x:c r="E15" s="453" t="str">
        <x:v>Trace tab</x:v>
      </x:c>
      <x:c r="F15" s="453" t="str">
        <x:v>Read: Development tab. Live source: Development!D27.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1711</x:v>
      </x:c>
      <x:c r="D16" s="913" t="n">
        <x:f>Trace!E11</x:f>
        <x:v>90788600</x:v>
      </x:c>
      <x:c r="E16" s="450" t="str">
        <x:v>Trace tab</x:v>
      </x:c>
      <x:c r="F16" s="450" t="str">
        <x:v>Read: Development tab. Live source: Development!D32.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416</x:v>
      </x:c>
      <x:c r="D17" s="901" t="n">
        <x:f>Trace!E12</x:f>
        <x:v>11659200.000000002</x:v>
      </x:c>
      <x:c r="E17" s="453" t="str">
        <x:v>Trace tab</x:v>
      </x:c>
      <x:c r="F17" s="453" t="str">
        <x:v>Read: Construction tab. Live source: Construction!G33.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1712</x:v>
      </x:c>
      <x:c r="D18" s="913" t="n">
        <x:f>Trace!E13</x:f>
        <x:v>27000000</x:v>
      </x:c>
      <x:c r="E18" s="450" t="str">
        <x:v>Trace tab</x:v>
      </x:c>
      <x:c r="F18" s="450" t="str">
        <x:v>Read: Landlord tab. Live source: Landlord!D9.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1713</x:v>
      </x:c>
      <x:c r="D19" s="901" t="n">
        <x:f>Trace!E14</x:f>
        <x:v>16101230.4</x:v>
      </x:c>
      <x:c r="E19" s="453" t="str">
        <x:v>Trace tab</x:v>
      </x:c>
      <x:c r="F19" s="453" t="str">
        <x:v>Read: Power tab. Live source: Power!D18.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1714</x:v>
      </x:c>
      <x:c r="D20" s="913" t="n">
        <x:f>Trace!E15</x:f>
        <x:v>19750000</x:v>
      </x:c>
      <x:c r="E20" s="450" t="str">
        <x:v>Trace tab</x:v>
      </x:c>
      <x:c r="F20" s="450" t="str">
        <x:v>Read: Landlord tab. Live source: Landlord!D21.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1715</x:v>
      </x:c>
      <x:c r="D21" s="901" t="n">
        <x:f>Trace!E17</x:f>
        <x:v>10564200</x:v>
      </x:c>
      <x:c r="E21" s="453" t="str">
        <x:v>Trace tab</x:v>
      </x:c>
      <x:c r="F21" s="453" t="str">
        <x:v>Read: Landlord tab. Live source: Landlord!D25.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1716</x:v>
      </x:c>
      <x:c r="D22" s="472" t="n">
        <x:f>Trace!E21</x:f>
        <x:v>0.16809156810684023</x:v>
      </x:c>
      <x:c r="E22" s="450" t="str">
        <x:v>Trace tab</x:v>
      </x:c>
      <x:c r="F22" s="450" t="str">
        <x:v>Read: Monthly CF tab. Live source: Monthly CF!D155.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1717</x:v>
      </x:c>
      <x:c r="D23" s="923" t="n">
        <x:f>Trace!E22</x:f>
        <x:v>3.9275938676797235</x:v>
      </x:c>
      <x:c r="E23" s="453" t="str">
        <x:v>Trace tab</x:v>
      </x:c>
      <x:c r="F23" s="453" t="str">
        <x:v>Read: Monthly CF tab. Live source: Monthly CF!D156.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1718</x:v>
      </x:c>
      <x:c r="D24" s="913" t="n">
        <x:f>Trace!E24</x:f>
        <x:v>354555556.3293822</x:v>
      </x:c>
      <x:c r="E24" s="450" t="str">
        <x:v>Trace tab</x:v>
      </x:c>
      <x:c r="F24" s="450" t="str">
        <x:v>Read: Landlord tab. Live source: Landlord!M35.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1719</x:v>
      </x:c>
      <x:c r="D25" s="1143" t="n">
        <x:f>Trace!E26/1000</x:f>
        <x:v>101265.6</x:v>
      </x:c>
      <x:c r="E25" s="453" t="str">
        <x:v>Trace tab</x:v>
      </x:c>
      <x:c r="F25" s="453" t="str">
        <x:v>Read: Power tab. Live source: Power!D13. Underlying kWh converted to MWh for display.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2.75" customHeight="1">
      <x:c r="A26" s="4"/>
      <x:c r="B26" s="5"/>
      <x:c r="C26" s="451" t="s">
        <x:v>1720</x:v>
      </x:c>
      <x:c r="D26" s="913" t="n">
        <x:f>Trace!E28</x:f>
        <x:v>442728600</x:v>
      </x:c>
      <x:c r="E26" s="450" t="str">
        <x:v>Trace tab</x:v>
      </x:c>
      <x:c r="F26" s="450" t="str">
        <x:v>Read: Integrated tab. Live source: Integrated!D14.</x:v>
      </x:c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1721</x:v>
      </x:c>
      <x:c r="D27" s="901" t="n">
        <x:f>Trace!E31</x:f>
        <x:v>10855200</x:v>
      </x:c>
      <x:c r="E27" s="453" t="str">
        <x:v>Trace tab</x:v>
      </x:c>
      <x:c r="F27" s="453" t="str">
        <x:v>Read: Downside tab. Live source: Downside!F21.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22.75" customHeight="1">
      <x:c r="A28" s="4"/>
      <x:c r="B28" s="5"/>
      <x:c r="C28" s="451" t="s">
        <x:v>1722</x:v>
      </x:c>
      <x:c r="D28" s="1027" t="n">
        <x:f>Trace!E35</x:f>
        <x:v>668</x:v>
      </x:c>
      <x:c r="E28" s="450" t="str">
        <x:v>Trace tab</x:v>
      </x:c>
      <x:c r="F28" s="450" t="str">
        <x:v>Read: GMI Case tab. Live source: GMI Case!D9.</x:v>
      </x:c>
      <x:c r="G28" s="579"/>
      <x:c r="H28" s="579"/>
      <x:c r="I28" s="579"/>
      <x:c r="J28" s="579"/>
      <x:c r="K28" s="579"/>
      <x:c r="L28" s="579"/>
      <x:c r="M28" s="579"/>
      <x:c r="N28" s="579"/>
    </x:row>
    <x:row r="29" ht="9" customHeight="1">
      <x:c r="A29" s="4"/>
      <x:c r="B29" s="5"/>
      <x:c r="C29" s="454"/>
      <x:c r="D29" s="979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 ht="22.200000762939453" customHeight="1">
      <x:c r="A30" s="7"/>
      <x:c r="B30" s="8"/>
      <x:c r="C30" s="621" t="s">
        <x:v>233</x:v>
      </x:c>
      <x:c r="D30" s="979"/>
      <x:c r="E30" s="453"/>
      <x:c r="F30" s="453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16  |  CELL-LEVEL SOURCE TRACEABILITY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Can another analyst reproduce the headline results?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Every important number should point to an editable input, working formula or dated public source.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REPORT TO LIVE WORKBOOK | SELECT EXHIBIT LINKS</x:v>
      </x:c>
      <x:c r="Q211" s="1047"/>
      <x:c r="R211" s="685" t="str"/>
      <x:c r="S211" s="685" t="str"/>
    </x:row>
    <x:row r="212" ht="17.110000610351562" hidden="0" customHeight="1">
      <x:c r="P212" s="509" t="str">
        <x:v>Critical IT capacity</x:v>
      </x:c>
      <x:c r="Q212" s="1063" t="n">
        <x:f>E16_Trace!D12</x:f>
        <x:v>10</x:v>
      </x:c>
      <x:c r="R212" s="510" t="str">
        <x:v>Trace tab</x:v>
      </x:c>
      <x:c r="S212" s="510" t="str">
        <x:v>Read: Inputs tab. Live source: Inputs!D7.</x:v>
      </x:c>
    </x:row>
    <x:row r="213" ht="17.110000610351562" hidden="0" customHeight="1">
      <x:c r="P213" s="597" t="str">
        <x:v>Pre-financing uses</x:v>
      </x:c>
      <x:c r="Q213" s="1037" t="n">
        <x:f>E16_Trace!D13</x:f>
        <x:v>194900000</x:v>
      </x:c>
      <x:c r="R213" s="599" t="str">
        <x:v>Trace tab</x:v>
      </x:c>
      <x:c r="S213" s="599" t="str">
        <x:v>Read: Development tab. Live source: Development!D25.</x:v>
      </x:c>
    </x:row>
    <x:row r="214" ht="17.110000610351562" hidden="0" customHeight="1">
      <x:c r="P214" s="589" t="str">
        <x:v>TOTAL development cost</x:v>
      </x:c>
      <x:c r="Q214" s="1045" t="n">
        <x:f>E16_Trace!D14</x:f>
        <x:v>207728600</x:v>
      </x:c>
      <x:c r="R214" s="654" t="str">
        <x:v>Trace tab</x:v>
      </x:c>
      <x:c r="S214" s="654" t="str">
        <x:v>Read: Development tab. Live source: Development!D31.</x:v>
      </x:c>
    </x:row>
    <x:row r="215" ht="17.110000610351562" hidden="0" customHeight="1">
      <x:c r="P215" s="597" t="str">
        <x:v>Loan principal</x:v>
      </x:c>
      <x:c r="Q215" s="1037" t="n">
        <x:f>E16_Trace!D15</x:f>
        <x:v>116940000</x:v>
      </x:c>
      <x:c r="R215" s="599" t="str">
        <x:v>Trace tab</x:v>
      </x:c>
      <x:c r="S215" s="599" t="str">
        <x:v>Read: Development tab. Live source: Development!D27.</x:v>
      </x:c>
    </x:row>
    <x:row r="216" ht="17.110000610351562" hidden="0" customHeight="1">
      <x:c r="P216" s="509" t="str">
        <x:v>Initial equity</x:v>
      </x:c>
      <x:c r="Q216" s="1036" t="n">
        <x:f>E16_Trace!D16</x:f>
        <x:v>90788600</x:v>
      </x:c>
      <x:c r="R216" s="510" t="str">
        <x:v>Trace tab</x:v>
      </x:c>
      <x:c r="S216" s="510" t="str">
        <x:v>Read: Development tab. Live source: Development!D32.</x:v>
      </x:c>
    </x:row>
    <x:row r="217" ht="17.110000610351562" hidden="0" customHeight="1">
      <x:c r="P217" s="597" t="str">
        <x:v>Construction interest</x:v>
      </x:c>
      <x:c r="Q217" s="1037" t="n">
        <x:f>E16_Trace!D17</x:f>
        <x:v>11659200.000000002</x:v>
      </x:c>
      <x:c r="R217" s="599" t="str">
        <x:v>Trace tab</x:v>
      </x:c>
      <x:c r="S217" s="599" t="str">
        <x:v>Read: Construction tab. Live source: Construction!G33.</x:v>
      </x:c>
    </x:row>
    <x:row r="218" ht="17.110000610351562" hidden="0" customHeight="1">
      <x:c r="P218" s="509" t="str">
        <x:v>Year-one capacity rent</x:v>
      </x:c>
      <x:c r="Q218" s="1036" t="n">
        <x:f>E16_Trace!D18</x:f>
        <x:v>27000000</x:v>
      </x:c>
      <x:c r="R218" s="510" t="str">
        <x:v>Trace tab</x:v>
      </x:c>
      <x:c r="S218" s="510" t="str">
        <x:v>Read: Landlord tab. Live source: Landlord!D9.</x:v>
      </x:c>
    </x:row>
    <x:row r="219" ht="17.110000610351562" hidden="0" customHeight="1">
      <x:c r="P219" s="597" t="str">
        <x:v>Annual electricity</x:v>
      </x:c>
      <x:c r="Q219" s="1037" t="n">
        <x:f>E16_Trace!D19</x:f>
        <x:v>16101230.4</x:v>
      </x:c>
      <x:c r="R219" s="599" t="str">
        <x:v>Trace tab</x:v>
      </x:c>
      <x:c r="S219" s="599" t="str">
        <x:v>Read: Power tab. Live source: Power!D18.</x:v>
      </x:c>
    </x:row>
    <x:row r="220" ht="17.110000610351562" hidden="0" customHeight="1">
      <x:c r="P220" s="509" t="str">
        <x:v>Property NOI</x:v>
      </x:c>
      <x:c r="Q220" s="1036" t="n">
        <x:f>E16_Trace!D20</x:f>
        <x:v>19750000</x:v>
      </x:c>
      <x:c r="R220" s="510" t="str">
        <x:v>Trace tab</x:v>
      </x:c>
      <x:c r="S220" s="510" t="str">
        <x:v>Read: Landlord tab. Live source: Landlord!D21.</x:v>
      </x:c>
    </x:row>
    <x:row r="221" ht="17.110000610351562" hidden="0" customHeight="1">
      <x:c r="P221" s="589" t="str">
        <x:v>Cash to equity</x:v>
      </x:c>
      <x:c r="Q221" s="1045" t="n">
        <x:f>E16_Trace!D21</x:f>
        <x:v>10564200</x:v>
      </x:c>
      <x:c r="R221" s="654" t="str">
        <x:v>Trace tab</x:v>
      </x:c>
      <x:c r="S221" s="654" t="str">
        <x:v>Read: Landlord tab. Live source: Landlord!D25.</x:v>
      </x:c>
    </x:row>
    <x:row r="222" ht="17.110000610351562" hidden="0" customHeight="1">
      <x:c r="P222" s="509" t="str">
        <x:v>Levered IRR</x:v>
      </x:c>
      <x:c r="Q222" s="611" t="n">
        <x:f>E16_Trace!D22</x:f>
        <x:v>0.16809156810684023</x:v>
      </x:c>
      <x:c r="R222" s="510" t="str">
        <x:v>Trace tab</x:v>
      </x:c>
      <x:c r="S222" s="510" t="str">
        <x:v>Read: Monthly CF tab. Live source: Monthly CF!D155.</x:v>
      </x:c>
    </x:row>
    <x:row r="223" ht="17.110000610351562" hidden="0" customHeight="1">
      <x:c r="P223" s="597" t="str">
        <x:v>Equity multiple</x:v>
      </x:c>
      <x:c r="Q223" s="666" t="n">
        <x:f>E16_Trace!D23</x:f>
        <x:v>3.9275938676797235</x:v>
      </x:c>
      <x:c r="R223" s="599" t="str">
        <x:v>Trace tab</x:v>
      </x:c>
      <x:c r="S223" s="599" t="str">
        <x:v>Read: Monthly CF tab. Live source: Monthly CF!D156.</x:v>
      </x:c>
    </x:row>
    <x:row r="224" ht="17.110000610351562" hidden="0" customHeight="1">
      <x:c r="P224" s="509" t="str">
        <x:v>Terminal property value</x:v>
      </x:c>
      <x:c r="Q224" s="1036" t="n">
        <x:f>E16_Trace!D24</x:f>
        <x:v>354555556.3293822</x:v>
      </x:c>
      <x:c r="R224" s="510" t="str">
        <x:v>Trace tab</x:v>
      </x:c>
      <x:c r="S224" s="510" t="str">
        <x:v>Read: Landlord tab. Live source: Landlord!M35.</x:v>
      </x:c>
    </x:row>
    <x:row r="225" ht="30.219999313354492" hidden="0" customHeight="1">
      <x:c r="P225" s="597" t="str">
        <x:v>Annual energy</x:v>
      </x:c>
      <x:c r="Q225" s="1145" t="n">
        <x:f>E16_Trace!D25</x:f>
        <x:v>101265.6</x:v>
      </x:c>
      <x:c r="R225" s="599" t="str">
        <x:v>Trace tab</x:v>
      </x:c>
      <x:c r="S225" s="599" t="str">
        <x:v>Read: Power tab. Live source: Power!D13. Underlying kWh converted to MWh for display.</x:v>
      </x:c>
    </x:row>
    <x:row r="226" ht="17.110000610351562" hidden="0" customHeight="1">
      <x:c r="P226" s="509" t="str">
        <x:v>Integrated all-in capital</x:v>
      </x:c>
      <x:c r="Q226" s="1036" t="n">
        <x:f>E16_Trace!D26</x:f>
        <x:v>442728600</x:v>
      </x:c>
      <x:c r="R226" s="510" t="str">
        <x:v>Trace tab</x:v>
      </x:c>
      <x:c r="S226" s="510" t="str">
        <x:v>Read: Integrated tab. Live source: Integrated!D14.</x:v>
      </x:c>
    </x:row>
    <x:row r="227" ht="17.110000610351562" hidden="0" customHeight="1">
      <x:c r="P227" s="597" t="str">
        <x:v>12-month delivery delay</x:v>
      </x:c>
      <x:c r="Q227" s="1037" t="n">
        <x:f>E16_Trace!D27</x:f>
        <x:v>10855200</x:v>
      </x:c>
      <x:c r="R227" s="599" t="str">
        <x:v>Trace tab</x:v>
      </x:c>
      <x:c r="S227" s="599" t="str">
        <x:v>Read: Downside tab. Live source: Downside!F21.</x:v>
      </x:c>
    </x:row>
    <x:row r="228" ht="17.110000610351562" hidden="0" customHeight="1">
      <x:c r="P228" s="509" t="str">
        <x:v>GMI announced financing</x:v>
      </x:c>
      <x:c r="Q228" s="1122" t="n">
        <x:f>E16_Trace!D28</x:f>
        <x:v>668</x:v>
      </x:c>
      <x:c r="R228" s="510" t="str">
        <x:v>Trace tab</x:v>
      </x:c>
      <x:c r="S228" s="510" t="str">
        <x:v>Read: GMI Case tab. Live source: GMI Case!D9.</x:v>
      </x:c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35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3:D3"/>
    <x:mergeCell ref="C4:F4"/>
    <x:mergeCell ref="C5:F5"/>
    <x:mergeCell ref="C7:F7"/>
    <x:mergeCell ref="C11:F11"/>
    <x:mergeCell ref="C30:F30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6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1.23046875" customWidth="1"/>
    <x:col min="4" max="4" width="23.765625" customWidth="1"/>
    <x:col min="5" max="5" width="17.4609375" customWidth="1"/>
    <x:col min="6" max="6" width="62.4609375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34" customHeight="1">
      <x:c r="A3" s="4"/>
      <x:c r="B3" s="5"/>
      <x:c r="C3" s="617" t="s">
        <x:v>1723</x:v>
      </x:c>
      <x:c r="D3" s="618"/>
      <x:c r="E3" s="618"/>
      <x:c r="F3" s="618"/>
      <x:c r="G3" s="556"/>
      <x:c r="H3" s="556"/>
      <x:c r="I3" s="556"/>
      <x:c r="J3" s="556"/>
      <x:c r="K3" s="556"/>
      <x:c r="L3" s="556"/>
      <x:c r="M3" s="556"/>
      <x:c r="N3" s="556"/>
    </x:row>
    <x:row r="4" ht="32.04999923706055" customHeight="1">
      <x:c r="A4" s="4"/>
      <x:c r="B4" s="5"/>
      <x:c r="C4" s="631" t="s">
        <x:v>1724</x:v>
      </x:c>
      <x:c r="D4" s="569"/>
      <x:c r="E4" s="569"/>
      <x:c r="F4" s="569"/>
      <x:c r="G4" s="556"/>
      <x:c r="H4" s="556"/>
      <x:c r="I4" s="556"/>
      <x:c r="J4" s="556"/>
      <x:c r="K4" s="556"/>
      <x:c r="L4" s="556"/>
      <x:c r="M4" s="556"/>
      <x:c r="N4" s="556"/>
    </x:row>
    <x:row r="5" ht="36" customHeight="1">
      <x:c r="A5" s="4"/>
      <x:c r="B5" s="5"/>
      <x:c r="C5" s="632" t="s">
        <x:v>1725</x:v>
      </x:c>
      <x:c r="D5" s="633"/>
      <x:c r="E5" s="633"/>
      <x:c r="F5" s="633"/>
      <x:c r="G5" s="556"/>
      <x:c r="H5" s="556"/>
      <x:c r="I5" s="556"/>
      <x:c r="J5" s="556"/>
      <x:c r="K5" s="556"/>
      <x:c r="L5" s="556"/>
      <x:c r="M5" s="556"/>
      <x:c r="N5" s="556"/>
    </x:row>
    <x:row r="6" ht="34" customHeight="1">
      <x:c r="A6" s="4"/>
      <x:c r="B6" s="5"/>
      <x:c r="C6" s="622" t="s">
        <x:v>1293</x:v>
      </x:c>
      <x:c r="D6" s="623" t="s">
        <x:v>1726</x:v>
      </x:c>
      <x:c r="E6" s="623" t="s">
        <x:v>1727</x:v>
      </x:c>
      <x:c r="F6" s="623" t="s">
        <x:v>1728</x:v>
      </x:c>
      <x:c r="G6" s="556"/>
      <x:c r="H6" s="556"/>
      <x:c r="I6" s="556"/>
      <x:c r="J6" s="556"/>
      <x:c r="K6" s="556"/>
      <x:c r="L6" s="556"/>
      <x:c r="M6" s="556"/>
      <x:c r="N6" s="556"/>
    </x:row>
    <x:row r="7" ht="22.75" customHeight="1">
      <x:c r="A7" s="4"/>
      <x:c r="B7" s="5"/>
      <x:c r="C7" s="454" t="s">
        <x:v>1729</x:v>
      </x:c>
      <x:c r="D7" s="815" t="n">
        <x:f>Development!D33</x:f>
        <x:v>0</x:v>
      </x:c>
      <x:c r="E7" s="453" t="str">
        <x:f>IF(ABS(D7)&lt;0.01,"PASS","REVIEW")</x:f>
        <x:v>PASS</x:v>
      </x:c>
      <x:c r="F7" s="453" t="s">
        <x:v>1730</x:v>
      </x:c>
      <x:c r="G7" s="579"/>
      <x:c r="H7" s="579"/>
      <x:c r="I7" s="579"/>
      <x:c r="J7" s="579"/>
      <x:c r="K7" s="579"/>
      <x:c r="L7" s="579"/>
      <x:c r="M7" s="579"/>
      <x:c r="N7" s="579"/>
    </x:row>
    <x:row r="8" ht="22.75" customHeight="1">
      <x:c r="A8" s="4"/>
      <x:c r="B8" s="5"/>
      <x:c r="C8" s="451" t="s">
        <x:v>1731</x:v>
      </x:c>
      <x:c r="D8" s="854" t="n">
        <x:f>Construction!I33-Development!D32</x:f>
        <x:v>0</x:v>
      </x:c>
      <x:c r="E8" s="450" t="str">
        <x:f>IF(ABS(D8)&lt;0.01,"PASS","REVIEW")</x:f>
        <x:v>PASS</x:v>
      </x:c>
      <x:c r="F8" s="450" t="s">
        <x:v>1732</x:v>
      </x:c>
      <x:c r="G8" s="579"/>
      <x:c r="H8" s="579"/>
      <x:c r="I8" s="579"/>
      <x:c r="J8" s="579"/>
      <x:c r="K8" s="579"/>
      <x:c r="L8" s="579"/>
      <x:c r="M8" s="579"/>
      <x:c r="N8" s="579"/>
    </x:row>
    <x:row r="9" ht="22.75" customHeight="1">
      <x:c r="A9" s="4"/>
      <x:c r="B9" s="5"/>
      <x:c r="C9" s="454" t="s">
        <x:v>1733</x:v>
      </x:c>
      <x:c r="D9" s="815" t="n">
        <x:f>Construction!J31-Development!D27</x:f>
        <x:v>0</x:v>
      </x:c>
      <x:c r="E9" s="453" t="str">
        <x:f>IF(ABS(D9)&lt;0.01,"PASS","REVIEW")</x:f>
        <x:v>PASS</x:v>
      </x:c>
      <x:c r="F9" s="453" t="s">
        <x:v>1734</x:v>
      </x:c>
      <x:c r="G9" s="579"/>
      <x:c r="H9" s="579"/>
      <x:c r="I9" s="579"/>
      <x:c r="J9" s="579"/>
      <x:c r="K9" s="579"/>
      <x:c r="L9" s="579"/>
      <x:c r="M9" s="579"/>
      <x:c r="N9" s="579"/>
    </x:row>
    <x:row r="10" ht="22.75" customHeight="1">
      <x:c r="A10" s="4"/>
      <x:c r="B10" s="5"/>
      <x:c r="C10" s="451" t="s">
        <x:v>1735</x:v>
      </x:c>
      <x:c r="D10" s="854" t="n">
        <x:f>'Monthly CF'!D158</x:f>
        <x:v>0</x:v>
      </x:c>
      <x:c r="E10" s="450" t="str">
        <x:f>IF(ABS(D10)&lt;0.01,"PASS","REVIEW")</x:f>
        <x:v>PASS</x:v>
      </x:c>
      <x:c r="F10" s="450" t="s">
        <x:v>1736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2.75" customHeight="1">
      <x:c r="A11" s="4"/>
      <x:c r="B11" s="5"/>
      <x:c r="C11" s="454" t="s">
        <x:v>1737</x:v>
      </x:c>
      <x:c r="D11" s="815" t="n">
        <x:f>Landlord!D41</x:f>
        <x:v>0</x:v>
      </x:c>
      <x:c r="E11" s="453" t="str">
        <x:f>IF(ABS(D11)&lt;0.01,"PASS","REVIEW")</x:f>
        <x:v>PASS</x:v>
      </x:c>
      <x:c r="F11" s="453" t="s">
        <x:v>1738</x:v>
      </x:c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1739</x:v>
      </x:c>
      <x:c r="D12" s="854" t="n">
        <x:f>Integrated!D45</x:f>
        <x:v>0</x:v>
      </x:c>
      <x:c r="E12" s="450" t="str">
        <x:f>IF(ABS(D12)&lt;0.01,"PASS","REVIEW")</x:f>
        <x:v>PASS</x:v>
      </x:c>
      <x:c r="F12" s="450" t="s">
        <x:v>1740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1741</x:v>
      </x:c>
      <x:c r="D13" s="725" t="n">
        <x:f>Inputs!D12-24</x:f>
        <x:v>0</x:v>
      </x:c>
      <x:c r="E13" s="453" t="str">
        <x:f>IF(ABS(D13)&lt;0.01,"PASS","REVIEW")</x:f>
        <x:v>PASS</x:v>
      </x:c>
      <x:c r="F13" s="453" t="s">
        <x:v>1742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1743</x:v>
      </x:c>
      <x:c r="D14" s="726" t="n">
        <x:f>Inputs!D28-10</x:f>
        <x:v>0</x:v>
      </x:c>
      <x:c r="E14" s="450" t="str">
        <x:f>IF(ABS(D14)&lt;0.01,"PASS","REVIEW")</x:f>
        <x:v>PASS</x:v>
      </x:c>
      <x:c r="F14" s="450" t="s">
        <x:v>1744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1745</x:v>
      </x:c>
      <x:c r="D15" s="725" t="n">
        <x:f>Inputs!D27-Inputs!D28</x:f>
        <x:v>5</x:v>
      </x:c>
      <x:c r="E15" s="453" t="str">
        <x:f>IF(D15&gt;=0,"PASS","REVIEW")</x:f>
        <x:v>PASS</x:v>
      </x:c>
      <x:c r="F15" s="453" t="s">
        <x:v>1746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1747</x:v>
      </x:c>
      <x:c r="D16" s="855" t="b">
        <x:f>AND(Inputs!D20&gt;=0,Inputs!D20&lt;=1)</x:f>
        <x:v>1</x:v>
      </x:c>
      <x:c r="E16" s="450" t="str">
        <x:f>IF(D16,"PASS","REVIEW")</x:f>
        <x:v>PASS</x:v>
      </x:c>
      <x:c r="F16" s="450" t="s">
        <x:v>1748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1749</x:v>
      </x:c>
      <x:c r="D17" s="856" t="b">
        <x:f>AND(Inputs!D24&gt;=0,Inputs!D24&lt;=1)</x:f>
        <x:v>1</x:v>
      </x:c>
      <x:c r="E17" s="453" t="str">
        <x:f>IF(D17,"PASS","REVIEW")</x:f>
        <x:v>PASS</x:v>
      </x:c>
      <x:c r="F17" s="453" t="s">
        <x:v>1750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1751</x:v>
      </x:c>
      <x:c r="D18" s="855" t="b">
        <x:f>Inputs!D25&gt;=1</x:f>
        <x:v>1</x:v>
      </x:c>
      <x:c r="E18" s="450" t="str">
        <x:f>IF(D18,"PASS","REVIEW")</x:f>
        <x:v>PASS</x:v>
      </x:c>
      <x:c r="F18" s="450" t="s">
        <x:v>1752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1753</x:v>
      </x:c>
      <x:c r="D19" s="856" t="b">
        <x:f>AND(Inputs!D7&gt;0,Inputs!D19&gt;0,Inputs!D29&gt;0,Inputs!D33&gt;0,Inputs!D67&gt;0)</x:f>
        <x:v>1</x:v>
      </x:c>
      <x:c r="E19" s="453" t="str">
        <x:f>IF(D19,"PASS","REVIEW")</x:f>
        <x:v>PASS</x:v>
      </x:c>
      <x:c r="F19" s="453" t="s">
        <x:v>1754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1755</x:v>
      </x:c>
      <x:c r="D20" s="854" t="n">
        <x:f>'GMI Case'!D9-SUM('GMI Case'!D7:D8)</x:f>
        <x:v>0</x:v>
      </x:c>
      <x:c r="E20" s="450" t="str">
        <x:f>IF(ABS(D20)&lt;0.01,"PASS","REVIEW")</x:f>
        <x:v>PASS</x:v>
      </x:c>
      <x:c r="F20" s="450" t="s">
        <x:v>1756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9" customHeight="1">
      <x:c r="A21" s="4"/>
      <x:c r="B21" s="5"/>
      <x:c r="C21" s="454"/>
      <x:c r="D21" s="453"/>
      <x:c r="E21" s="453"/>
      <x:c r="F21" s="453"/>
      <x:c r="G21" s="579"/>
      <x:c r="H21" s="579"/>
      <x:c r="I21" s="579"/>
      <x:c r="J21" s="579"/>
      <x:c r="K21" s="579"/>
      <x:c r="L21" s="579"/>
      <x:c r="M21" s="579"/>
      <x:c r="N21" s="579"/>
    </x:row>
    <x:row r="22" ht="9" customHeight="1">
      <x:c r="A22" s="4"/>
      <x:c r="B22" s="5"/>
      <x:c r="C22" s="454"/>
      <x:c r="D22" s="453"/>
      <x:c r="E22" s="453"/>
      <x:c r="F22" s="453"/>
      <x:c r="G22" s="579"/>
      <x:c r="H22" s="579"/>
      <x:c r="I22" s="579"/>
      <x:c r="J22" s="579"/>
      <x:c r="K22" s="579"/>
      <x:c r="L22" s="579"/>
      <x:c r="M22" s="579"/>
      <x:c r="N22" s="579"/>
    </x:row>
    <x:row r="23" ht="22.200000762939453" customHeight="1">
      <x:c r="A23" s="4"/>
      <x:c r="B23" s="5"/>
      <x:c r="C23" s="621" t="s">
        <x:v>1757</x:v>
      </x:c>
      <x:c r="D23" s="453"/>
      <x:c r="E23" s="453"/>
      <x:c r="F23" s="453"/>
      <x:c r="G23" s="579"/>
      <x:c r="H23" s="579"/>
      <x:c r="I23" s="579"/>
      <x:c r="J23" s="579"/>
      <x:c r="K23" s="579"/>
      <x:c r="L23" s="579"/>
      <x:c r="M23" s="579"/>
      <x:c r="N23" s="579"/>
    </x:row>
    <x:row r="24" ht="9" customHeight="1">
      <x:c r="A24" s="4"/>
      <x:c r="B24" s="5"/>
      <x:c r="C24" s="454"/>
      <x:c r="D24" s="453"/>
      <x:c r="E24" s="453"/>
      <x:c r="F24" s="453"/>
      <x:c r="G24" s="579"/>
      <x:c r="H24" s="579"/>
      <x:c r="I24" s="579"/>
      <x:c r="J24" s="579"/>
      <x:c r="K24" s="579"/>
      <x:c r="L24" s="579"/>
      <x:c r="M24" s="579"/>
      <x:c r="N24" s="579"/>
    </x:row>
    <x:row r="25" ht="34.29999923706055" customHeight="1">
      <x:c r="A25" s="4"/>
      <x:c r="B25" s="5"/>
      <x:c r="C25" s="621" t="inlineStr">
        <x:is>
          <x:t xml:space="preserve">SOURCE CHECK | Nebius current and total operating leases reconciled to Q2 2026 Exhibit 99.2 Note 8. Uncommenced future obligations disclosed separately.</x:t>
        </x:is>
      </x:c>
      <x:c r="D25" s="453"/>
      <x:c r="E25" s="453"/>
      <x:c r="F25" s="453"/>
      <x:c r="G25" s="579"/>
      <x:c r="H25" s="579"/>
      <x:c r="I25" s="579"/>
      <x:c r="J25" s="579"/>
      <x:c r="K25" s="579"/>
      <x:c r="L25" s="579"/>
      <x:c r="M25" s="579"/>
      <x:c r="N25" s="579"/>
    </x:row>
    <x:row r="26" ht="9" customHeight="1">
      <x:c r="A26" s="4"/>
      <x:c r="B26" s="5"/>
      <x:c r="C26" s="454"/>
      <x:c r="D26" s="453"/>
      <x:c r="E26" s="453"/>
      <x:c r="F26" s="453"/>
      <x:c r="G26" s="579"/>
      <x:c r="H26" s="579"/>
      <x:c r="I26" s="579"/>
      <x:c r="J26" s="579"/>
      <x:c r="K26" s="579"/>
      <x:c r="L26" s="579"/>
      <x:c r="M26" s="579"/>
      <x:c r="N26" s="579"/>
    </x:row>
    <x:row r="27" ht="34.29999923706055" customHeight="1">
      <x:c r="A27" s="4"/>
      <x:c r="B27" s="5"/>
      <x:c r="C27" s="621" t="str">
        <x:v>BOUNDARY | Cost-bridge and yield checks (rows 32–36) confirm classification and arithmetic only; they do not validate budget amounts or market evidence.</x:v>
      </x:c>
      <x:c r="D27" s="453"/>
      <x:c r="E27" s="453"/>
      <x:c r="F27" s="453"/>
      <x:c r="G27" s="579"/>
      <x:c r="H27" s="579"/>
      <x:c r="I27" s="579"/>
      <x:c r="J27" s="579"/>
      <x:c r="K27" s="579"/>
      <x:c r="L27" s="579"/>
      <x:c r="M27" s="579"/>
      <x:c r="N27" s="579"/>
    </x:row>
    <x:row r="28" ht="9" customHeight="1">
      <x:c r="A28" s="4"/>
      <x:c r="B28" s="5"/>
      <x:c r="C28" s="454"/>
      <x:c r="D28" s="453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 ht="22.200000762939453" customHeight="1">
      <x:c r="A29" s="7"/>
      <x:c r="B29" s="8"/>
      <x:c r="C29" s="621" t="str">
        <x:v>PRINT CONTROL | One landscape page per tab (37 PDF pages). This is a companion model and print summary for GII Research Note No. 2, Version 1.0, published October 22, 2026; working schedules remain in Excel.</x:v>
      </x:c>
      <x:c r="D29" s="453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>
      <x:c r="C30" s="556"/>
      <x:c r="D30" s="579"/>
      <x:c r="E30" s="579"/>
      <x:c r="F30" s="579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 ht="32" customHeight="1">
      <x:c r="C32" s="437" t="str">
        <x:v>Three-category Total Development Cost reconciles</x:v>
      </x:c>
      <x:c r="D32" s="441" t="n">
        <x:f>Development!D65</x:f>
        <x:v>0</x:v>
      </x:c>
      <x:c r="E32" s="441" t="str">
        <x:f>IF(ABS(D32)&lt;0.000001,"PASS","REVIEW")</x:f>
        <x:v>PASS</x:v>
      </x:c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 ht="32" customHeight="1">
      <x:c r="C33" s="437" t="str">
        <x:v>Development Yield reconciles</x:v>
      </x:c>
      <x:c r="D33" s="441" t="n">
        <x:f>Development!D70-Landlord!D29</x:f>
        <x:v>0</x:v>
      </x:c>
      <x:c r="E33" s="441" t="str">
        <x:f>IF(ABS(D33)&lt;0.000001,"PASS","REVIEW")</x:f>
        <x:v>PASS</x:v>
      </x:c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 ht="32" customHeight="1">
      <x:c r="C34" s="437" t="str">
        <x:v>Hard-cost contingency included once</x:v>
      </x:c>
      <x:c r="D34" s="441" t="n">
        <x:f>Development!D62-SUM(Development!D16,Development!D24)</x:f>
        <x:v>0</x:v>
      </x:c>
      <x:c r="E34" s="441" t="str">
        <x:f>IF(ABS(D34)&lt;0.000001,"PASS","REVIEW")</x:f>
        <x:v>PASS</x:v>
      </x:c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 ht="32" customHeight="1">
      <x:c r="C35" s="437" t="str">
        <x:v>Soft-cost finance included once</x:v>
      </x:c>
      <x:c r="D35" s="441" t="n">
        <x:f>Development!D63-SUM(Development!D20:D23,Development!D30)</x:f>
        <x:v>0</x:v>
      </x:c>
      <x:c r="E35" s="441" t="str">
        <x:f>IF(ABS(D35)&lt;0.000001,"PASS","REVIEW")</x:f>
        <x:v>PASS</x:v>
      </x:c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 t="str">
        <x:v>Year 1 stabilization convention</x:v>
      </x:c>
      <x:c r="D36" s="579" t="n">
        <x:f>Inputs!D20-Landlord!D7/Inputs!D7</x:f>
        <x:v>0</x:v>
      </x:c>
      <x:c r="E36" s="579" t="str">
        <x:f>IF(ABS(D36)&lt;0.000001,"PASS","REVIEW")</x:f>
        <x:v>PASS</x:v>
      </x:c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17  |  FINANCIAL MODEL CONTROLS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arithmetic passed, and which risks remain outside the model?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PASS means math ties. It does not certify power access, tenant credit, engineering or legal terms.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7.110000610351562" hidden="0" customHeight="1">
      <x:c r="P211" s="597" t="str">
        <x:v>Sources equal development uses</x:v>
      </x:c>
      <x:c r="Q211" s="1041" t="str">
        <x:f>"PASS"</x:f>
        <x:v>PASS</x:v>
      </x:c>
      <x:c r="R211" s="599" t="str">
        <x:v>E7</x:v>
      </x:c>
      <x:c r="S211" s="599" t="str">
        <x:v>Uses funded by modeled principal and equity</x:v>
      </x:c>
    </x:row>
    <x:row r="212" ht="17.110000610351562" hidden="0" customHeight="1">
      <x:c r="P212" s="509" t="str">
        <x:v>Construction equity = development equity</x:v>
      </x:c>
      <x:c r="Q212" s="1042" t="str">
        <x:f>"PASS"</x:f>
        <x:v>PASS</x:v>
      </x:c>
      <x:c r="R212" s="510" t="str">
        <x:v>E8</x:v>
      </x:c>
      <x:c r="S212" s="510" t="str">
        <x:v>Construction and summary schedules reconcile</x:v>
      </x:c>
    </x:row>
    <x:row r="213" ht="17.110000610351562" hidden="0" customHeight="1">
      <x:c r="P213" s="597" t="str">
        <x:v>Construction debt = loan commitment</x:v>
      </x:c>
      <x:c r="Q213" s="1041" t="str">
        <x:f>"PASS"</x:f>
        <x:v>PASS</x:v>
      </x:c>
      <x:c r="R213" s="599" t="str">
        <x:v>E9</x:v>
      </x:c>
      <x:c r="S213" s="599" t="str">
        <x:v>Closing debt equals funded principal</x:v>
      </x:c>
    </x:row>
    <x:row r="214" ht="17.110000610351562" hidden="0" customHeight="1">
      <x:c r="P214" s="509" t="str">
        <x:v>Monthly CF equity = development equity</x:v>
      </x:c>
      <x:c r="Q214" s="1042" t="str">
        <x:f>"PASS"</x:f>
        <x:v>PASS</x:v>
      </x:c>
      <x:c r="R214" s="510" t="str">
        <x:v>E10</x:v>
      </x:c>
      <x:c r="S214" s="510" t="str">
        <x:v>Return schedule uses the same equity funding</x:v>
      </x:c>
    </x:row>
    <x:row r="215" ht="17.110000610351562" hidden="0" customHeight="1">
      <x:c r="P215" s="597" t="str">
        <x:v>Power revenue = power expense</x:v>
      </x:c>
      <x:c r="Q215" s="1041" t="str">
        <x:f>"PASS"</x:f>
        <x:v>PASS</x:v>
      </x:c>
      <x:c r="R215" s="599" t="str">
        <x:v>E11</x:v>
      </x:c>
      <x:c r="S215" s="599" t="str">
        <x:v>Base pass-through does not inflate NOI</x:v>
      </x:c>
    </x:row>
    <x:row r="216" ht="17.110000610351562" hidden="0" customHeight="1">
      <x:c r="P216" s="509" t="str">
        <x:v>Integrated rent elimination</x:v>
      </x:c>
      <x:c r="Q216" s="1042" t="str">
        <x:f>"PASS"</x:f>
        <x:v>PASS</x:v>
      </x:c>
      <x:c r="R216" s="510" t="str">
        <x:v>E12</x:v>
      </x:c>
      <x:c r="S216" s="510" t="str">
        <x:v>Consolidated EBITDA removes internal rent</x:v>
      </x:c>
    </x:row>
    <x:row r="217" ht="17.110000610351562" hidden="0" customHeight="1">
      <x:c r="P217" s="597" t="str">
        <x:v>24-month construction structure</x:v>
      </x:c>
      <x:c r="Q217" s="1041" t="str">
        <x:f>"PASS"</x:f>
        <x:v>PASS</x:v>
      </x:c>
      <x:c r="R217" s="599" t="str">
        <x:v>E13</x:v>
      </x:c>
      <x:c r="S217" s="599" t="str">
        <x:v>Fixed monthly schedule remains aligned</x:v>
      </x:c>
    </x:row>
    <x:row r="218" ht="17.110000610351562" hidden="0" customHeight="1">
      <x:c r="P218" s="509" t="str">
        <x:v>Ten-year operating hold structure</x:v>
      </x:c>
      <x:c r="Q218" s="1042" t="str">
        <x:f>"PASS"</x:f>
        <x:v>PASS</x:v>
      </x:c>
      <x:c r="R218" s="510" t="str">
        <x:v>E14</x:v>
      </x:c>
      <x:c r="S218" s="510" t="str">
        <x:v>Fixed return horizon remains aligned</x:v>
      </x:c>
    </x:row>
    <x:row r="219" ht="17.110000610351562" hidden="0" customHeight="1">
      <x:c r="P219" s="597" t="str">
        <x:v>Lease covers hold</x:v>
      </x:c>
      <x:c r="Q219" s="1041" t="str">
        <x:f>"PASS"</x:f>
        <x:v>PASS</x:v>
      </x:c>
      <x:c r="R219" s="599" t="str">
        <x:v>E15</x:v>
      </x:c>
      <x:c r="S219" s="599" t="str">
        <x:v>Assumed lease extends through modeled sale</x:v>
      </x:c>
    </x:row>
    <x:row r="220" ht="17.110000610351562" hidden="0" customHeight="1">
      <x:c r="P220" s="509" t="str">
        <x:v>Billability within 0–100%</x:v>
      </x:c>
      <x:c r="Q220" s="1042" t="str">
        <x:f>"PASS"</x:f>
        <x:v>PASS</x:v>
      </x:c>
      <x:c r="R220" s="510" t="str">
        <x:v>E16</x:v>
      </x:c>
      <x:c r="S220" s="510" t="str">
        <x:v>Valid reserved-capacity fraction</x:v>
      </x:c>
    </x:row>
    <x:row r="221" ht="17.110000610351562" hidden="0" customHeight="1">
      <x:c r="P221" s="597" t="str">
        <x:v>Electrical load within 0–100%</x:v>
      </x:c>
      <x:c r="Q221" s="1041" t="str">
        <x:f>"PASS"</x:f>
        <x:v>PASS</x:v>
      </x:c>
      <x:c r="R221" s="599" t="str">
        <x:v>E17</x:v>
      </x:c>
      <x:c r="S221" s="599" t="str">
        <x:v>Valid average loading fraction</x:v>
      </x:c>
    </x:row>
    <x:row r="222" ht="17.110000610351562" hidden="0" customHeight="1">
      <x:c r="P222" s="509" t="str">
        <x:v>PUE at least 1</x:v>
      </x:c>
      <x:c r="Q222" s="1042" t="str">
        <x:f>"PASS"</x:f>
        <x:v>PASS</x:v>
      </x:c>
      <x:c r="R222" s="510" t="str">
        <x:v>E18</x:v>
      </x:c>
      <x:c r="S222" s="510" t="str">
        <x:v>Total facility energy not less than IT energy</x:v>
      </x:c>
    </x:row>
    <x:row r="223" ht="17.110000610351562" hidden="0" customHeight="1">
      <x:c r="P223" s="597" t="str">
        <x:v>Required positive economic inputs</x:v>
      </x:c>
      <x:c r="Q223" s="1041" t="str">
        <x:f>"PASS"</x:f>
        <x:v>PASS</x:v>
      </x:c>
      <x:c r="R223" s="599" t="str">
        <x:v>E19</x:v>
      </x:c>
      <x:c r="S223" s="599" t="str">
        <x:v>Avoid principal denominator failures</x:v>
      </x:c>
    </x:row>
    <x:row r="224" ht="17.110000610351562" hidden="0" customHeight="1">
      <x:c r="P224" s="509" t="str">
        <x:v>GMI components sum to total</x:v>
      </x:c>
      <x:c r="Q224" s="1042" t="str">
        <x:f>"PASS"</x:f>
        <x:v>PASS</x:v>
      </x:c>
      <x:c r="R224" s="510" t="str">
        <x:v>E20</x:v>
      </x:c>
      <x:c r="S224" s="510" t="str">
        <x:v>Announced capital arithmetic only</x:v>
      </x:c>
    </x:row>
    <x:row r="225" ht="2" customHeight="1">
      <x:c r="P225" s="509"/>
      <x:c r="Q225" s="810"/>
      <x:c r="R225" s="510"/>
      <x:c r="S225" s="510"/>
    </x:row>
    <x:row r="226" ht="2" customHeight="1">
      <x:c r="P226" s="509"/>
      <x:c r="Q226" s="810"/>
      <x:c r="R226" s="510"/>
      <x:c r="S226" s="510"/>
    </x:row>
    <x:row r="227" ht="2" customHeight="1">
      <x:c r="P227" s="509"/>
      <x:c r="Q227" s="810"/>
      <x:c r="R227" s="510"/>
      <x:c r="S227" s="510"/>
    </x:row>
    <x:row r="228" ht="2" customHeight="1">
      <x:c r="P228" s="509"/>
      <x:c r="Q228" s="510"/>
      <x:c r="R228" s="510"/>
      <x:c r="S228" s="510"/>
    </x:row>
    <x:row r="229" ht="2" customHeight="1">
      <x:c r="P229" s="509"/>
      <x:c r="Q229" s="510"/>
      <x:c r="R229" s="510"/>
      <x:c r="S229" s="510"/>
    </x:row>
    <x:row r="230" ht="2" customHeight="1">
      <x:c r="P230" s="509"/>
      <x:c r="Q230" s="510"/>
      <x:c r="R230" s="510"/>
      <x:c r="S230" s="510"/>
    </x:row>
    <x:row r="231" ht="2" customHeight="1">
      <x:c r="P231" s="509"/>
      <x:c r="Q231" s="510"/>
      <x:c r="R231" s="510"/>
      <x:c r="S231" s="510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36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7:F27"/>
    <x:mergeCell ref="C29:F29"/>
    <x:mergeCell ref="C3:F3"/>
    <x:mergeCell ref="C4:F4"/>
    <x:mergeCell ref="C5:F5"/>
    <x:mergeCell ref="C23:F23"/>
    <x:mergeCell ref="C25:F25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xl/worksheets/sheet37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4.600000381469727"/>
  <x:cols>
    <x:col min="1" max="2" width="2.23046875" customWidth="1"/>
    <x:col min="3" max="3" width="40" customWidth="1"/>
    <x:col min="4" max="4" width="23.15234375" customWidth="1"/>
    <x:col min="5" max="5" width="27.4609375" customWidth="1"/>
    <x:col min="6" max="6" width="60" customWidth="1"/>
    <x:col min="16" max="16" width="43" hidden="0" customWidth="1"/>
    <x:col min="17" max="17" width="20" hidden="0" customWidth="1"/>
    <x:col min="18" max="18" width="27" hidden="0" customWidth="1"/>
    <x:col min="19" max="19" width="60" hidden="0" customWidth="1"/>
  </x:cols>
  <x:sheetData>
    <x:row r="1" ht="12" customHeight="1">
      <x:c r="A1" s="1"/>
      <x:c r="B1" s="2"/>
      <x:c r="C1" s="2"/>
      <x:c r="D1" s="2"/>
      <x:c r="E1" s="2"/>
      <x:c r="F1" s="3"/>
    </x:row>
    <x:row r="2" ht="12" customHeight="1">
      <x:c r="A2" s="4"/>
      <x:c r="B2" s="5"/>
      <x:c r="C2" s="5"/>
      <x:c r="D2" s="5"/>
      <x:c r="E2" s="5"/>
      <x:c r="F2" s="6"/>
    </x:row>
    <x:row r="3" ht="24" customHeight="1">
      <x:c r="A3" s="4"/>
      <x:c r="B3" s="5"/>
      <x:c r="C3" s="674" t="s">
        <x:v>198</x:v>
      </x:c>
      <x:c r="D3" s="675"/>
      <x:c r="E3" s="675" t="s">
        <x:v>199</x:v>
      </x:c>
      <x:c r="F3" s="675" t="str">
        <x:v>22 OCT 2026  |  v1.0</x:v>
      </x:c>
      <x:c r="G3" s="556"/>
      <x:c r="H3" s="556"/>
      <x:c r="I3" s="556"/>
      <x:c r="J3" s="556"/>
      <x:c r="K3" s="556"/>
      <x:c r="L3" s="556"/>
      <x:c r="M3" s="556"/>
      <x:c r="N3" s="556"/>
    </x:row>
    <x:row r="4" ht="36" customHeight="1">
      <x:c r="A4" s="4"/>
      <x:c r="B4" s="5"/>
      <x:c r="C4" s="676" t="s">
        <x:v>1758</x:v>
      </x:c>
      <x:c r="D4" s="677"/>
      <x:c r="E4" s="677"/>
      <x:c r="F4" s="677"/>
      <x:c r="G4" s="556"/>
      <x:c r="H4" s="556"/>
      <x:c r="I4" s="556"/>
      <x:c r="J4" s="556"/>
      <x:c r="K4" s="556"/>
      <x:c r="L4" s="556"/>
      <x:c r="M4" s="556"/>
      <x:c r="N4" s="556"/>
    </x:row>
    <x:row r="5" ht="32.04999923706055" customHeight="1">
      <x:c r="A5" s="4"/>
      <x:c r="B5" s="5"/>
      <x:c r="C5" s="678" t="s">
        <x:v>1759</x:v>
      </x:c>
      <x:c r="D5" s="679"/>
      <x:c r="E5" s="679"/>
      <x:c r="F5" s="679"/>
      <x:c r="G5" s="556"/>
      <x:c r="H5" s="556"/>
      <x:c r="I5" s="556"/>
      <x:c r="J5" s="556"/>
      <x:c r="K5" s="556"/>
      <x:c r="L5" s="556"/>
      <x:c r="M5" s="556"/>
      <x:c r="N5" s="556"/>
    </x:row>
    <x:row r="6" ht="9" customHeight="1">
      <x:c r="A6" s="4"/>
      <x:c r="B6" s="5"/>
      <x:c r="C6" s="454"/>
      <x:c r="D6" s="453"/>
      <x:c r="E6" s="453"/>
      <x:c r="F6" s="453"/>
      <x:c r="G6" s="556"/>
      <x:c r="H6" s="556"/>
      <x:c r="I6" s="556"/>
      <x:c r="J6" s="556"/>
      <x:c r="K6" s="556"/>
      <x:c r="L6" s="556"/>
      <x:c r="M6" s="556"/>
      <x:c r="N6" s="556"/>
    </x:row>
    <x:row r="7" ht="42" customHeight="1">
      <x:c r="A7" s="4"/>
      <x:c r="B7" s="5"/>
      <x:c r="C7" s="632" t="s">
        <x:v>1760</x:v>
      </x:c>
      <x:c r="D7" s="633"/>
      <x:c r="E7" s="633"/>
      <x:c r="F7" s="633"/>
      <x:c r="G7" s="579"/>
      <x:c r="H7" s="579"/>
      <x:c r="I7" s="579"/>
      <x:c r="J7" s="579"/>
      <x:c r="K7" s="579"/>
      <x:c r="L7" s="579"/>
      <x:c r="M7" s="579"/>
      <x:c r="N7" s="579"/>
    </x:row>
    <x:row r="8" ht="9" customHeight="1">
      <x:c r="A8" s="4"/>
      <x:c r="B8" s="5"/>
      <x:c r="C8" s="454"/>
      <x:c r="D8" s="453"/>
      <x:c r="E8" s="453"/>
      <x:c r="F8" s="453"/>
      <x:c r="G8" s="579"/>
      <x:c r="H8" s="579"/>
      <x:c r="I8" s="579"/>
      <x:c r="J8" s="579"/>
      <x:c r="K8" s="579"/>
      <x:c r="L8" s="579"/>
      <x:c r="M8" s="579"/>
      <x:c r="N8" s="579"/>
    </x:row>
    <x:row r="9" ht="9" customHeight="1">
      <x:c r="A9" s="4"/>
      <x:c r="B9" s="5"/>
      <x:c r="C9" s="454"/>
      <x:c r="D9" s="453"/>
      <x:c r="E9" s="453"/>
      <x:c r="F9" s="453"/>
      <x:c r="G9" s="579"/>
      <x:c r="H9" s="579"/>
      <x:c r="I9" s="579"/>
      <x:c r="J9" s="579"/>
      <x:c r="K9" s="579"/>
      <x:c r="L9" s="579"/>
      <x:c r="M9" s="579"/>
      <x:c r="N9" s="579"/>
    </x:row>
    <x:row r="10" ht="32.04999923706055" customHeight="1">
      <x:c r="A10" s="4"/>
      <x:c r="B10" s="5"/>
      <x:c r="C10" s="680" t="s">
        <x:v>203</x:v>
      </x:c>
      <x:c r="D10" s="681" t="str">
        <x:v>MODEL RESULT / STATUS</x:v>
      </x:c>
      <x:c r="E10" s="681" t="str">
        <x:v>MODEL TAB / SOURCE</x:v>
      </x:c>
      <x:c r="F10" s="681" t="s">
        <x:v>204</x:v>
      </x:c>
      <x:c r="G10" s="579"/>
      <x:c r="H10" s="579"/>
      <x:c r="I10" s="579"/>
      <x:c r="J10" s="579"/>
      <x:c r="K10" s="579"/>
      <x:c r="L10" s="579"/>
      <x:c r="M10" s="579"/>
      <x:c r="N10" s="579"/>
    </x:row>
    <x:row r="11" ht="25" customHeight="1">
      <x:c r="A11" s="4"/>
      <x:c r="B11" s="5"/>
      <x:c r="C11" s="641" t="s">
        <x:v>1761</x:v>
      </x:c>
      <x:c r="D11" s="977"/>
      <x:c r="E11" s="642"/>
      <x:c r="F11" s="642"/>
      <x:c r="G11" s="579"/>
      <x:c r="H11" s="579"/>
      <x:c r="I11" s="579"/>
      <x:c r="J11" s="579"/>
      <x:c r="K11" s="579"/>
      <x:c r="L11" s="579"/>
      <x:c r="M11" s="579"/>
      <x:c r="N11" s="579"/>
    </x:row>
    <x:row r="12" ht="22.75" customHeight="1">
      <x:c r="A12" s="4"/>
      <x:c r="B12" s="5"/>
      <x:c r="C12" s="451" t="s">
        <x:v>1729</x:v>
      </x:c>
      <x:c r="D12" s="1000" t="str">
        <x:f>Checks!E7</x:f>
        <x:v>PASS</x:v>
      </x:c>
      <x:c r="E12" s="450" t="str">
        <x:v>Checks tab</x:v>
      </x:c>
      <x:c r="F12" s="450" t="s">
        <x:v>1762</x:v>
      </x:c>
      <x:c r="G12" s="579"/>
      <x:c r="H12" s="579"/>
      <x:c r="I12" s="579"/>
      <x:c r="J12" s="579"/>
      <x:c r="K12" s="579"/>
      <x:c r="L12" s="579"/>
      <x:c r="M12" s="579"/>
      <x:c r="N12" s="579"/>
    </x:row>
    <x:row r="13" ht="22.75" customHeight="1">
      <x:c r="A13" s="4"/>
      <x:c r="B13" s="5"/>
      <x:c r="C13" s="454" t="s">
        <x:v>1763</x:v>
      </x:c>
      <x:c r="D13" s="1033" t="str">
        <x:f>Checks!E8</x:f>
        <x:v>PASS</x:v>
      </x:c>
      <x:c r="E13" s="453" t="str">
        <x:v>Checks tab</x:v>
      </x:c>
      <x:c r="F13" s="453" t="s">
        <x:v>1764</x:v>
      </x:c>
      <x:c r="G13" s="579"/>
      <x:c r="H13" s="579"/>
      <x:c r="I13" s="579"/>
      <x:c r="J13" s="579"/>
      <x:c r="K13" s="579"/>
      <x:c r="L13" s="579"/>
      <x:c r="M13" s="579"/>
      <x:c r="N13" s="579"/>
    </x:row>
    <x:row r="14" ht="22.75" customHeight="1">
      <x:c r="A14" s="4"/>
      <x:c r="B14" s="5"/>
      <x:c r="C14" s="451" t="s">
        <x:v>1765</x:v>
      </x:c>
      <x:c r="D14" s="1000" t="str">
        <x:f>Checks!E9</x:f>
        <x:v>PASS</x:v>
      </x:c>
      <x:c r="E14" s="450" t="str">
        <x:v>Checks tab</x:v>
      </x:c>
      <x:c r="F14" s="450" t="s">
        <x:v>1766</x:v>
      </x:c>
      <x:c r="G14" s="579"/>
      <x:c r="H14" s="579"/>
      <x:c r="I14" s="579"/>
      <x:c r="J14" s="579"/>
      <x:c r="K14" s="579"/>
      <x:c r="L14" s="579"/>
      <x:c r="M14" s="579"/>
      <x:c r="N14" s="579"/>
    </x:row>
    <x:row r="15" ht="22.75" customHeight="1">
      <x:c r="A15" s="4"/>
      <x:c r="B15" s="5"/>
      <x:c r="C15" s="454" t="s">
        <x:v>1767</x:v>
      </x:c>
      <x:c r="D15" s="1033" t="str">
        <x:f>Checks!E10</x:f>
        <x:v>PASS</x:v>
      </x:c>
      <x:c r="E15" s="453" t="str">
        <x:v>Checks tab</x:v>
      </x:c>
      <x:c r="F15" s="453" t="s">
        <x:v>1768</x:v>
      </x:c>
      <x:c r="G15" s="579"/>
      <x:c r="H15" s="579"/>
      <x:c r="I15" s="579"/>
      <x:c r="J15" s="579"/>
      <x:c r="K15" s="579"/>
      <x:c r="L15" s="579"/>
      <x:c r="M15" s="579"/>
      <x:c r="N15" s="579"/>
    </x:row>
    <x:row r="16" ht="22.75" customHeight="1">
      <x:c r="A16" s="4"/>
      <x:c r="B16" s="5"/>
      <x:c r="C16" s="451" t="s">
        <x:v>1769</x:v>
      </x:c>
      <x:c r="D16" s="1000" t="str">
        <x:f>Checks!E11</x:f>
        <x:v>PASS</x:v>
      </x:c>
      <x:c r="E16" s="450" t="str">
        <x:v>Checks tab</x:v>
      </x:c>
      <x:c r="F16" s="450" t="s">
        <x:v>1770</x:v>
      </x:c>
      <x:c r="G16" s="579"/>
      <x:c r="H16" s="579"/>
      <x:c r="I16" s="579"/>
      <x:c r="J16" s="579"/>
      <x:c r="K16" s="579"/>
      <x:c r="L16" s="579"/>
      <x:c r="M16" s="579"/>
      <x:c r="N16" s="579"/>
    </x:row>
    <x:row r="17" ht="22.75" customHeight="1">
      <x:c r="A17" s="4"/>
      <x:c r="B17" s="5"/>
      <x:c r="C17" s="454" t="s">
        <x:v>1771</x:v>
      </x:c>
      <x:c r="D17" s="1033" t="str">
        <x:f>Checks!E12</x:f>
        <x:v>PASS</x:v>
      </x:c>
      <x:c r="E17" s="453" t="str">
        <x:v>Checks tab</x:v>
      </x:c>
      <x:c r="F17" s="453" t="s">
        <x:v>1772</x:v>
      </x:c>
      <x:c r="G17" s="579"/>
      <x:c r="H17" s="579"/>
      <x:c r="I17" s="579"/>
      <x:c r="J17" s="579"/>
      <x:c r="K17" s="579"/>
      <x:c r="L17" s="579"/>
      <x:c r="M17" s="579"/>
      <x:c r="N17" s="579"/>
    </x:row>
    <x:row r="18" ht="22.75" customHeight="1">
      <x:c r="A18" s="4"/>
      <x:c r="B18" s="5"/>
      <x:c r="C18" s="451" t="s">
        <x:v>1741</x:v>
      </x:c>
      <x:c r="D18" s="1000" t="str">
        <x:f>Checks!E13</x:f>
        <x:v>PASS</x:v>
      </x:c>
      <x:c r="E18" s="450" t="str">
        <x:v>Checks tab</x:v>
      </x:c>
      <x:c r="F18" s="450" t="s">
        <x:v>1773</x:v>
      </x:c>
      <x:c r="G18" s="579"/>
      <x:c r="H18" s="579"/>
      <x:c r="I18" s="579"/>
      <x:c r="J18" s="579"/>
      <x:c r="K18" s="579"/>
      <x:c r="L18" s="579"/>
      <x:c r="M18" s="579"/>
      <x:c r="N18" s="579"/>
    </x:row>
    <x:row r="19" ht="22.75" customHeight="1">
      <x:c r="A19" s="4"/>
      <x:c r="B19" s="5"/>
      <x:c r="C19" s="454" t="s">
        <x:v>1774</x:v>
      </x:c>
      <x:c r="D19" s="1033" t="str">
        <x:f>Checks!E14</x:f>
        <x:v>PASS</x:v>
      </x:c>
      <x:c r="E19" s="453" t="str">
        <x:v>Checks tab</x:v>
      </x:c>
      <x:c r="F19" s="453" t="s">
        <x:v>1773</x:v>
      </x:c>
      <x:c r="G19" s="579"/>
      <x:c r="H19" s="579"/>
      <x:c r="I19" s="579"/>
      <x:c r="J19" s="579"/>
      <x:c r="K19" s="579"/>
      <x:c r="L19" s="579"/>
      <x:c r="M19" s="579"/>
      <x:c r="N19" s="579"/>
    </x:row>
    <x:row r="20" ht="22.75" customHeight="1">
      <x:c r="A20" s="4"/>
      <x:c r="B20" s="5"/>
      <x:c r="C20" s="451" t="s">
        <x:v>1775</x:v>
      </x:c>
      <x:c r="D20" s="1000" t="str">
        <x:f>Checks!E15</x:f>
        <x:v>PASS</x:v>
      </x:c>
      <x:c r="E20" s="450" t="str">
        <x:v>Checks tab</x:v>
      </x:c>
      <x:c r="F20" s="450" t="s">
        <x:v>1776</x:v>
      </x:c>
      <x:c r="G20" s="579"/>
      <x:c r="H20" s="579"/>
      <x:c r="I20" s="579"/>
      <x:c r="J20" s="579"/>
      <x:c r="K20" s="579"/>
      <x:c r="L20" s="579"/>
      <x:c r="M20" s="579"/>
      <x:c r="N20" s="579"/>
    </x:row>
    <x:row r="21" ht="22.75" customHeight="1">
      <x:c r="A21" s="4"/>
      <x:c r="B21" s="5"/>
      <x:c r="C21" s="454" t="s">
        <x:v>1777</x:v>
      </x:c>
      <x:c r="D21" s="1033" t="str">
        <x:f>Checks!E16</x:f>
        <x:v>PASS</x:v>
      </x:c>
      <x:c r="E21" s="453" t="str">
        <x:v>Checks tab</x:v>
      </x:c>
      <x:c r="F21" s="453" t="s">
        <x:v>1778</x:v>
      </x:c>
      <x:c r="G21" s="579"/>
      <x:c r="H21" s="579"/>
      <x:c r="I21" s="579"/>
      <x:c r="J21" s="579"/>
      <x:c r="K21" s="579"/>
      <x:c r="L21" s="579"/>
      <x:c r="M21" s="579"/>
      <x:c r="N21" s="579"/>
    </x:row>
    <x:row r="22" ht="22.75" customHeight="1">
      <x:c r="A22" s="4"/>
      <x:c r="B22" s="5"/>
      <x:c r="C22" s="451" t="s">
        <x:v>1779</x:v>
      </x:c>
      <x:c r="D22" s="1000" t="str">
        <x:f>Checks!E17</x:f>
        <x:v>PASS</x:v>
      </x:c>
      <x:c r="E22" s="450" t="str">
        <x:v>Checks tab</x:v>
      </x:c>
      <x:c r="F22" s="450" t="s">
        <x:v>1780</x:v>
      </x:c>
      <x:c r="G22" s="579"/>
      <x:c r="H22" s="579"/>
      <x:c r="I22" s="579"/>
      <x:c r="J22" s="579"/>
      <x:c r="K22" s="579"/>
      <x:c r="L22" s="579"/>
      <x:c r="M22" s="579"/>
      <x:c r="N22" s="579"/>
    </x:row>
    <x:row r="23" ht="22.75" customHeight="1">
      <x:c r="A23" s="4"/>
      <x:c r="B23" s="5"/>
      <x:c r="C23" s="454" t="s">
        <x:v>1781</x:v>
      </x:c>
      <x:c r="D23" s="1033" t="str">
        <x:f>Checks!E18</x:f>
        <x:v>PASS</x:v>
      </x:c>
      <x:c r="E23" s="453" t="str">
        <x:v>Checks tab</x:v>
      </x:c>
      <x:c r="F23" s="453" t="s">
        <x:v>1782</x:v>
      </x:c>
      <x:c r="G23" s="579"/>
      <x:c r="H23" s="579"/>
      <x:c r="I23" s="579"/>
      <x:c r="J23" s="579"/>
      <x:c r="K23" s="579"/>
      <x:c r="L23" s="579"/>
      <x:c r="M23" s="579"/>
      <x:c r="N23" s="579"/>
    </x:row>
    <x:row r="24" ht="22.75" customHeight="1">
      <x:c r="A24" s="4"/>
      <x:c r="B24" s="5"/>
      <x:c r="C24" s="451" t="s">
        <x:v>1783</x:v>
      </x:c>
      <x:c r="D24" s="1000" t="str">
        <x:f>Checks!E19</x:f>
        <x:v>PASS</x:v>
      </x:c>
      <x:c r="E24" s="450" t="str">
        <x:v>Checks tab</x:v>
      </x:c>
      <x:c r="F24" s="450" t="s">
        <x:v>1784</x:v>
      </x:c>
      <x:c r="G24" s="579"/>
      <x:c r="H24" s="579"/>
      <x:c r="I24" s="579"/>
      <x:c r="J24" s="579"/>
      <x:c r="K24" s="579"/>
      <x:c r="L24" s="579"/>
      <x:c r="M24" s="579"/>
      <x:c r="N24" s="579"/>
    </x:row>
    <x:row r="25" ht="22.75" customHeight="1">
      <x:c r="A25" s="4"/>
      <x:c r="B25" s="5"/>
      <x:c r="C25" s="454" t="s">
        <x:v>1785</x:v>
      </x:c>
      <x:c r="D25" s="1033" t="str">
        <x:f>Checks!E20</x:f>
        <x:v>PASS</x:v>
      </x:c>
      <x:c r="E25" s="453" t="str">
        <x:v>Checks tab</x:v>
      </x:c>
      <x:c r="F25" s="453" t="s">
        <x:v>1786</x:v>
      </x:c>
      <x:c r="G25" s="579"/>
      <x:c r="H25" s="579"/>
      <x:c r="I25" s="579"/>
      <x:c r="J25" s="579"/>
      <x:c r="K25" s="579"/>
      <x:c r="L25" s="579"/>
      <x:c r="M25" s="579"/>
      <x:c r="N25" s="579"/>
    </x:row>
    <x:row r="26" ht="25" customHeight="1">
      <x:c r="A26" s="4"/>
      <x:c r="B26" s="5"/>
      <x:c r="C26" s="641" t="s">
        <x:v>1787</x:v>
      </x:c>
      <x:c r="D26" s="977"/>
      <x:c r="E26" s="642"/>
      <x:c r="F26" s="642"/>
      <x:c r="G26" s="579"/>
      <x:c r="H26" s="579"/>
      <x:c r="I26" s="579"/>
      <x:c r="J26" s="579"/>
      <x:c r="K26" s="579"/>
      <x:c r="L26" s="579"/>
      <x:c r="M26" s="579"/>
      <x:c r="N26" s="579"/>
    </x:row>
    <x:row r="27" ht="22.75" customHeight="1">
      <x:c r="A27" s="4"/>
      <x:c r="B27" s="5"/>
      <x:c r="C27" s="454" t="s">
        <x:v>1788</x:v>
      </x:c>
      <x:c r="D27" s="979" t="s">
        <x:v>227</x:v>
      </x:c>
      <x:c r="E27" s="453" t="str">
        <x:v>DILIGENCE</x:v>
      </x:c>
      <x:c r="F27" s="453" t="s">
        <x:v>1789</x:v>
      </x:c>
      <x:c r="G27" s="579"/>
      <x:c r="H27" s="579"/>
      <x:c r="I27" s="579"/>
      <x:c r="J27" s="579"/>
      <x:c r="K27" s="579"/>
      <x:c r="L27" s="579"/>
      <x:c r="M27" s="579"/>
      <x:c r="N27" s="579"/>
    </x:row>
    <x:row r="28" ht="9" customHeight="1">
      <x:c r="A28" s="4"/>
      <x:c r="B28" s="5"/>
      <x:c r="C28" s="454"/>
      <x:c r="D28" s="979"/>
      <x:c r="E28" s="453"/>
      <x:c r="F28" s="453"/>
      <x:c r="G28" s="579"/>
      <x:c r="H28" s="579"/>
      <x:c r="I28" s="579"/>
      <x:c r="J28" s="579"/>
      <x:c r="K28" s="579"/>
      <x:c r="L28" s="579"/>
      <x:c r="M28" s="579"/>
      <x:c r="N28" s="579"/>
    </x:row>
    <x:row r="29" ht="22.200000762939453" customHeight="1">
      <x:c r="A29" s="7"/>
      <x:c r="B29" s="8"/>
      <x:c r="C29" s="621" t="s">
        <x:v>233</x:v>
      </x:c>
      <x:c r="D29" s="979"/>
      <x:c r="E29" s="453"/>
      <x:c r="F29" s="453"/>
      <x:c r="G29" s="579"/>
      <x:c r="H29" s="579"/>
      <x:c r="I29" s="579"/>
      <x:c r="J29" s="579"/>
      <x:c r="K29" s="579"/>
      <x:c r="L29" s="579"/>
      <x:c r="M29" s="579"/>
      <x:c r="N29" s="579"/>
    </x:row>
    <x:row r="30">
      <x:c r="C30" s="556"/>
      <x:c r="D30" s="579"/>
      <x:c r="E30" s="579"/>
      <x:c r="F30" s="579"/>
      <x:c r="G30" s="579"/>
      <x:c r="H30" s="579"/>
      <x:c r="I30" s="579"/>
      <x:c r="J30" s="579"/>
      <x:c r="K30" s="579"/>
      <x:c r="L30" s="579"/>
      <x:c r="M30" s="579"/>
      <x:c r="N30" s="579"/>
    </x:row>
    <x:row r="31">
      <x:c r="C31" s="556"/>
      <x:c r="D31" s="579"/>
      <x:c r="E31" s="579"/>
      <x:c r="F31" s="579"/>
      <x:c r="G31" s="579"/>
      <x:c r="H31" s="579"/>
      <x:c r="I31" s="579"/>
      <x:c r="J31" s="579"/>
      <x:c r="K31" s="579"/>
      <x:c r="L31" s="579"/>
      <x:c r="M31" s="579"/>
      <x:c r="N31" s="579"/>
    </x:row>
    <x:row r="32">
      <x:c r="C32" s="556"/>
      <x:c r="D32" s="579"/>
      <x:c r="E32" s="579"/>
      <x:c r="F32" s="579"/>
      <x:c r="G32" s="579"/>
      <x:c r="H32" s="579"/>
      <x:c r="I32" s="579"/>
      <x:c r="J32" s="579"/>
      <x:c r="K32" s="579"/>
      <x:c r="L32" s="579"/>
      <x:c r="M32" s="579"/>
      <x:c r="N32" s="579"/>
    </x:row>
    <x:row r="33">
      <x:c r="C33" s="556"/>
      <x:c r="D33" s="579"/>
      <x:c r="E33" s="579"/>
      <x:c r="F33" s="579"/>
      <x:c r="G33" s="579"/>
      <x:c r="H33" s="579"/>
      <x:c r="I33" s="579"/>
      <x:c r="J33" s="579"/>
      <x:c r="K33" s="579"/>
      <x:c r="L33" s="579"/>
      <x:c r="M33" s="579"/>
      <x:c r="N33" s="579"/>
    </x:row>
    <x:row r="34">
      <x:c r="C34" s="556"/>
      <x:c r="D34" s="579"/>
      <x:c r="E34" s="579"/>
      <x:c r="F34" s="579"/>
      <x:c r="G34" s="579"/>
      <x:c r="H34" s="579"/>
      <x:c r="I34" s="579"/>
      <x:c r="J34" s="579"/>
      <x:c r="K34" s="579"/>
      <x:c r="L34" s="579"/>
      <x:c r="M34" s="579"/>
      <x:c r="N34" s="579"/>
    </x:row>
    <x:row r="35">
      <x:c r="C35" s="556"/>
      <x:c r="D35" s="579"/>
      <x:c r="E35" s="579"/>
      <x:c r="F35" s="579"/>
      <x:c r="G35" s="579"/>
      <x:c r="H35" s="579"/>
      <x:c r="I35" s="579"/>
      <x:c r="J35" s="579"/>
      <x:c r="K35" s="579"/>
      <x:c r="L35" s="579"/>
      <x:c r="M35" s="579"/>
      <x:c r="N35" s="579"/>
    </x:row>
    <x:row r="36">
      <x:c r="C36" s="556"/>
      <x:c r="D36" s="579"/>
      <x:c r="E36" s="579"/>
      <x:c r="F36" s="579"/>
      <x:c r="G36" s="579"/>
      <x:c r="H36" s="579"/>
      <x:c r="I36" s="579"/>
      <x:c r="J36" s="579"/>
      <x:c r="K36" s="579"/>
      <x:c r="L36" s="579"/>
      <x:c r="M36" s="579"/>
      <x:c r="N36" s="579"/>
    </x:row>
    <x:row r="37">
      <x:c r="C37" s="556"/>
      <x:c r="D37" s="579"/>
      <x:c r="E37" s="579"/>
      <x:c r="F37" s="579"/>
      <x:c r="G37" s="579"/>
      <x:c r="H37" s="579"/>
      <x:c r="I37" s="579"/>
      <x:c r="J37" s="579"/>
      <x:c r="K37" s="579"/>
      <x:c r="L37" s="579"/>
      <x:c r="M37" s="579"/>
      <x:c r="N37" s="579"/>
    </x:row>
    <x:row r="38">
      <x:c r="C38" s="556"/>
      <x:c r="D38" s="579"/>
      <x:c r="E38" s="579"/>
      <x:c r="F38" s="579"/>
      <x:c r="G38" s="579"/>
      <x:c r="H38" s="579"/>
      <x:c r="I38" s="579"/>
      <x:c r="J38" s="579"/>
      <x:c r="K38" s="579"/>
      <x:c r="L38" s="579"/>
      <x:c r="M38" s="579"/>
      <x:c r="N38" s="579"/>
    </x:row>
    <x:row r="39">
      <x:c r="C39" s="556"/>
      <x:c r="D39" s="579"/>
      <x:c r="E39" s="579"/>
      <x:c r="F39" s="579"/>
      <x:c r="G39" s="579"/>
      <x:c r="H39" s="579"/>
      <x:c r="I39" s="579"/>
      <x:c r="J39" s="579"/>
      <x:c r="K39" s="579"/>
      <x:c r="L39" s="579"/>
      <x:c r="M39" s="579"/>
      <x:c r="N39" s="579"/>
    </x:row>
    <x:row r="40">
      <x:c r="C40" s="556"/>
      <x:c r="D40" s="579"/>
      <x:c r="E40" s="579"/>
      <x:c r="F40" s="579"/>
      <x:c r="G40" s="579"/>
      <x:c r="H40" s="579"/>
      <x:c r="I40" s="579"/>
      <x:c r="J40" s="579"/>
      <x:c r="K40" s="579"/>
      <x:c r="L40" s="579"/>
      <x:c r="M40" s="579"/>
      <x:c r="N40" s="579"/>
    </x:row>
    <x:row r="41">
      <x:c r="C41" s="556"/>
      <x:c r="D41" s="579"/>
      <x:c r="E41" s="579"/>
      <x:c r="F41" s="579"/>
      <x:c r="G41" s="579"/>
      <x:c r="H41" s="579"/>
      <x:c r="I41" s="579"/>
      <x:c r="J41" s="579"/>
      <x:c r="K41" s="579"/>
      <x:c r="L41" s="579"/>
      <x:c r="M41" s="579"/>
      <x:c r="N41" s="579"/>
    </x:row>
    <x:row r="42">
      <x:c r="C42" s="556"/>
      <x:c r="D42" s="579"/>
      <x:c r="E42" s="579"/>
      <x:c r="F42" s="579"/>
      <x:c r="G42" s="579"/>
      <x:c r="H42" s="579"/>
      <x:c r="I42" s="579"/>
      <x:c r="J42" s="579"/>
      <x:c r="K42" s="579"/>
      <x:c r="L42" s="579"/>
      <x:c r="M42" s="579"/>
      <x:c r="N42" s="579"/>
    </x:row>
    <x:row r="43">
      <x:c r="C43" s="556"/>
      <x:c r="D43" s="579"/>
      <x:c r="E43" s="579"/>
      <x:c r="F43" s="579"/>
      <x:c r="G43" s="579"/>
      <x:c r="H43" s="579"/>
      <x:c r="I43" s="579"/>
      <x:c r="J43" s="579"/>
      <x:c r="K43" s="579"/>
      <x:c r="L43" s="579"/>
      <x:c r="M43" s="579"/>
      <x:c r="N43" s="579"/>
    </x:row>
    <x:row r="44">
      <x:c r="C44" s="556"/>
      <x:c r="D44" s="579"/>
      <x:c r="E44" s="579"/>
      <x:c r="F44" s="579"/>
      <x:c r="G44" s="579"/>
      <x:c r="H44" s="579"/>
      <x:c r="I44" s="579"/>
      <x:c r="J44" s="579"/>
      <x:c r="K44" s="579"/>
      <x:c r="L44" s="579"/>
      <x:c r="M44" s="579"/>
      <x:c r="N44" s="579"/>
    </x:row>
    <x:row r="45">
      <x:c r="C45" s="556"/>
      <x:c r="D45" s="579"/>
      <x:c r="E45" s="579"/>
      <x:c r="F45" s="579"/>
      <x:c r="G45" s="579"/>
      <x:c r="H45" s="579"/>
      <x:c r="I45" s="579"/>
      <x:c r="J45" s="579"/>
      <x:c r="K45" s="579"/>
      <x:c r="L45" s="579"/>
      <x:c r="M45" s="579"/>
      <x:c r="N45" s="579"/>
    </x:row>
    <x:row r="46">
      <x:c r="C46" s="556"/>
      <x:c r="D46" s="579"/>
      <x:c r="E46" s="579"/>
      <x:c r="F46" s="579"/>
      <x:c r="G46" s="579"/>
      <x:c r="H46" s="579"/>
      <x:c r="I46" s="579"/>
      <x:c r="J46" s="579"/>
      <x:c r="K46" s="579"/>
      <x:c r="L46" s="579"/>
      <x:c r="M46" s="579"/>
      <x:c r="N46" s="579"/>
    </x:row>
    <x:row r="47">
      <x:c r="C47" s="556"/>
      <x:c r="D47" s="579"/>
      <x:c r="E47" s="579"/>
      <x:c r="F47" s="579"/>
      <x:c r="G47" s="579"/>
      <x:c r="H47" s="579"/>
      <x:c r="I47" s="579"/>
      <x:c r="J47" s="579"/>
      <x:c r="K47" s="579"/>
      <x:c r="L47" s="579"/>
      <x:c r="M47" s="579"/>
      <x:c r="N47" s="579"/>
    </x:row>
    <x:row r="48">
      <x:c r="C48" s="556"/>
      <x:c r="D48" s="579"/>
      <x:c r="E48" s="579"/>
      <x:c r="F48" s="579"/>
      <x:c r="G48" s="579"/>
      <x:c r="H48" s="579"/>
      <x:c r="I48" s="579"/>
      <x:c r="J48" s="579"/>
      <x:c r="K48" s="579"/>
      <x:c r="L48" s="579"/>
      <x:c r="M48" s="579"/>
      <x:c r="N48" s="579"/>
    </x:row>
    <x:row r="49">
      <x:c r="C49" s="556"/>
      <x:c r="D49" s="579"/>
      <x:c r="E49" s="579"/>
      <x:c r="F49" s="579"/>
      <x:c r="G49" s="579"/>
      <x:c r="H49" s="579"/>
      <x:c r="I49" s="579"/>
      <x:c r="J49" s="579"/>
      <x:c r="K49" s="579"/>
      <x:c r="L49" s="579"/>
      <x:c r="M49" s="579"/>
      <x:c r="N49" s="579"/>
    </x:row>
    <x:row r="50">
      <x:c r="C50" s="556"/>
      <x:c r="D50" s="579"/>
      <x:c r="E50" s="579"/>
      <x:c r="F50" s="579"/>
      <x:c r="G50" s="579"/>
      <x:c r="H50" s="579"/>
      <x:c r="I50" s="579"/>
      <x:c r="J50" s="579"/>
      <x:c r="K50" s="579"/>
      <x:c r="L50" s="579"/>
      <x:c r="M50" s="579"/>
      <x:c r="N50" s="579"/>
    </x:row>
    <x:row r="51">
      <x:c r="C51" s="556"/>
      <x:c r="D51" s="579"/>
      <x:c r="E51" s="579"/>
      <x:c r="F51" s="579"/>
      <x:c r="G51" s="579"/>
      <x:c r="H51" s="579"/>
      <x:c r="I51" s="579"/>
      <x:c r="J51" s="579"/>
      <x:c r="K51" s="579"/>
      <x:c r="L51" s="579"/>
      <x:c r="M51" s="579"/>
      <x:c r="N51" s="579"/>
    </x:row>
    <x:row r="52">
      <x:c r="C52" s="556"/>
      <x:c r="D52" s="579"/>
      <x:c r="E52" s="579"/>
      <x:c r="F52" s="579"/>
      <x:c r="G52" s="579"/>
      <x:c r="H52" s="579"/>
      <x:c r="I52" s="579"/>
      <x:c r="J52" s="579"/>
      <x:c r="K52" s="579"/>
      <x:c r="L52" s="579"/>
      <x:c r="M52" s="579"/>
      <x:c r="N52" s="579"/>
    </x:row>
    <x:row r="53">
      <x:c r="C53" s="556"/>
      <x:c r="D53" s="579"/>
      <x:c r="E53" s="579"/>
      <x:c r="F53" s="579"/>
      <x:c r="G53" s="579"/>
      <x:c r="H53" s="579"/>
      <x:c r="I53" s="579"/>
      <x:c r="J53" s="579"/>
      <x:c r="K53" s="579"/>
      <x:c r="L53" s="579"/>
      <x:c r="M53" s="579"/>
      <x:c r="N53" s="579"/>
    </x:row>
    <x:row r="54">
      <x:c r="C54" s="556"/>
      <x:c r="D54" s="579"/>
      <x:c r="E54" s="579"/>
      <x:c r="F54" s="579"/>
      <x:c r="G54" s="579"/>
      <x:c r="H54" s="579"/>
      <x:c r="I54" s="579"/>
      <x:c r="J54" s="579"/>
      <x:c r="K54" s="579"/>
      <x:c r="L54" s="579"/>
      <x:c r="M54" s="579"/>
      <x:c r="N54" s="579"/>
    </x:row>
    <x:row r="55">
      <x:c r="C55" s="556"/>
      <x:c r="D55" s="579"/>
      <x:c r="E55" s="579"/>
      <x:c r="F55" s="579"/>
      <x:c r="G55" s="579"/>
      <x:c r="H55" s="579"/>
      <x:c r="I55" s="579"/>
      <x:c r="J55" s="579"/>
      <x:c r="K55" s="579"/>
      <x:c r="L55" s="579"/>
      <x:c r="M55" s="579"/>
      <x:c r="N55" s="579"/>
    </x:row>
    <x:row r="56">
      <x:c r="C56" s="556"/>
      <x:c r="D56" s="579"/>
      <x:c r="E56" s="579"/>
      <x:c r="F56" s="579"/>
      <x:c r="G56" s="579"/>
      <x:c r="H56" s="579"/>
      <x:c r="I56" s="579"/>
      <x:c r="J56" s="579"/>
      <x:c r="K56" s="579"/>
      <x:c r="L56" s="579"/>
      <x:c r="M56" s="579"/>
      <x:c r="N56" s="579"/>
    </x:row>
    <x:row r="57">
      <x:c r="C57" s="556"/>
      <x:c r="D57" s="579"/>
      <x:c r="E57" s="579"/>
      <x:c r="F57" s="579"/>
      <x:c r="G57" s="579"/>
      <x:c r="H57" s="579"/>
      <x:c r="I57" s="579"/>
      <x:c r="J57" s="579"/>
      <x:c r="K57" s="579"/>
      <x:c r="L57" s="579"/>
      <x:c r="M57" s="579"/>
      <x:c r="N57" s="579"/>
    </x:row>
    <x:row r="58">
      <x:c r="C58" s="556"/>
      <x:c r="D58" s="579"/>
      <x:c r="E58" s="579"/>
      <x:c r="F58" s="579"/>
      <x:c r="G58" s="579"/>
      <x:c r="H58" s="579"/>
      <x:c r="I58" s="579"/>
      <x:c r="J58" s="579"/>
      <x:c r="K58" s="579"/>
      <x:c r="L58" s="579"/>
      <x:c r="M58" s="579"/>
      <x:c r="N58" s="579"/>
    </x:row>
    <x:row r="59">
      <x:c r="C59" s="556"/>
      <x:c r="D59" s="579"/>
      <x:c r="E59" s="579"/>
      <x:c r="F59" s="579"/>
      <x:c r="G59" s="579"/>
      <x:c r="H59" s="579"/>
      <x:c r="I59" s="579"/>
      <x:c r="J59" s="579"/>
      <x:c r="K59" s="579"/>
      <x:c r="L59" s="579"/>
      <x:c r="M59" s="579"/>
      <x:c r="N59" s="579"/>
    </x:row>
    <x:row r="60">
      <x:c r="C60" s="556"/>
      <x:c r="D60" s="579"/>
      <x:c r="E60" s="579"/>
      <x:c r="F60" s="579"/>
      <x:c r="G60" s="579"/>
      <x:c r="H60" s="579"/>
      <x:c r="I60" s="579"/>
      <x:c r="J60" s="579"/>
      <x:c r="K60" s="579"/>
      <x:c r="L60" s="579"/>
      <x:c r="M60" s="579"/>
      <x:c r="N60" s="579"/>
    </x:row>
    <x:row r="61">
      <x:c r="C61" s="556"/>
      <x:c r="D61" s="579"/>
      <x:c r="E61" s="579"/>
      <x:c r="F61" s="579"/>
      <x:c r="G61" s="579"/>
      <x:c r="H61" s="579"/>
      <x:c r="I61" s="579"/>
      <x:c r="J61" s="579"/>
      <x:c r="K61" s="579"/>
      <x:c r="L61" s="579"/>
      <x:c r="M61" s="579"/>
      <x:c r="N61" s="579"/>
    </x:row>
    <x:row r="62">
      <x:c r="C62" s="556"/>
      <x:c r="D62" s="579"/>
      <x:c r="E62" s="579"/>
      <x:c r="F62" s="579"/>
      <x:c r="G62" s="579"/>
      <x:c r="H62" s="579"/>
      <x:c r="I62" s="579"/>
      <x:c r="J62" s="579"/>
      <x:c r="K62" s="579"/>
      <x:c r="L62" s="579"/>
      <x:c r="M62" s="579"/>
      <x:c r="N62" s="579"/>
    </x:row>
    <x:row r="63">
      <x:c r="C63" s="556"/>
      <x:c r="D63" s="579"/>
      <x:c r="E63" s="579"/>
      <x:c r="F63" s="579"/>
      <x:c r="G63" s="579"/>
      <x:c r="H63" s="579"/>
      <x:c r="I63" s="579"/>
      <x:c r="J63" s="579"/>
      <x:c r="K63" s="579"/>
      <x:c r="L63" s="579"/>
      <x:c r="M63" s="579"/>
      <x:c r="N63" s="579"/>
    </x:row>
    <x:row r="64">
      <x:c r="C64" s="556"/>
      <x:c r="D64" s="579"/>
      <x:c r="E64" s="579"/>
      <x:c r="F64" s="579"/>
      <x:c r="G64" s="579"/>
      <x:c r="H64" s="579"/>
      <x:c r="I64" s="579"/>
      <x:c r="J64" s="579"/>
      <x:c r="K64" s="579"/>
      <x:c r="L64" s="579"/>
      <x:c r="M64" s="579"/>
      <x:c r="N64" s="579"/>
    </x:row>
    <x:row r="65">
      <x:c r="C65" s="556"/>
      <x:c r="D65" s="579"/>
      <x:c r="E65" s="579"/>
      <x:c r="F65" s="579"/>
      <x:c r="G65" s="579"/>
      <x:c r="H65" s="579"/>
      <x:c r="I65" s="579"/>
      <x:c r="J65" s="579"/>
      <x:c r="K65" s="579"/>
      <x:c r="L65" s="579"/>
      <x:c r="M65" s="579"/>
      <x:c r="N65" s="579"/>
    </x:row>
    <x:row r="66">
      <x:c r="C66" s="556"/>
      <x:c r="D66" s="579"/>
      <x:c r="E66" s="579"/>
      <x:c r="F66" s="579"/>
      <x:c r="G66" s="579"/>
      <x:c r="H66" s="579"/>
      <x:c r="I66" s="579"/>
      <x:c r="J66" s="579"/>
      <x:c r="K66" s="579"/>
      <x:c r="L66" s="579"/>
      <x:c r="M66" s="579"/>
      <x:c r="N66" s="579"/>
    </x:row>
    <x:row r="67">
      <x:c r="C67" s="556"/>
      <x:c r="D67" s="579"/>
      <x:c r="E67" s="579"/>
      <x:c r="F67" s="579"/>
      <x:c r="G67" s="579"/>
      <x:c r="H67" s="579"/>
      <x:c r="I67" s="579"/>
      <x:c r="J67" s="579"/>
      <x:c r="K67" s="579"/>
      <x:c r="L67" s="579"/>
      <x:c r="M67" s="579"/>
      <x:c r="N67" s="579"/>
    </x:row>
    <x:row r="68">
      <x:c r="C68" s="556"/>
      <x:c r="D68" s="579"/>
      <x:c r="E68" s="579"/>
      <x:c r="F68" s="579"/>
      <x:c r="G68" s="579"/>
      <x:c r="H68" s="579"/>
      <x:c r="I68" s="579"/>
      <x:c r="J68" s="579"/>
      <x:c r="K68" s="579"/>
      <x:c r="L68" s="579"/>
      <x:c r="M68" s="579"/>
      <x:c r="N68" s="579"/>
    </x:row>
    <x:row r="69">
      <x:c r="C69" s="556"/>
      <x:c r="D69" s="579"/>
      <x:c r="E69" s="579"/>
      <x:c r="F69" s="579"/>
      <x:c r="G69" s="579"/>
      <x:c r="H69" s="579"/>
      <x:c r="I69" s="579"/>
      <x:c r="J69" s="579"/>
      <x:c r="K69" s="579"/>
      <x:c r="L69" s="579"/>
      <x:c r="M69" s="579"/>
      <x:c r="N69" s="579"/>
    </x:row>
    <x:row r="70">
      <x:c r="C70" s="556"/>
      <x:c r="D70" s="579"/>
      <x:c r="E70" s="579"/>
      <x:c r="F70" s="579"/>
      <x:c r="G70" s="579"/>
      <x:c r="H70" s="579"/>
      <x:c r="I70" s="579"/>
      <x:c r="J70" s="579"/>
      <x:c r="K70" s="579"/>
      <x:c r="L70" s="579"/>
      <x:c r="M70" s="579"/>
      <x:c r="N70" s="579"/>
    </x:row>
    <x:row r="71">
      <x:c r="C71" s="556"/>
      <x:c r="D71" s="579"/>
      <x:c r="E71" s="579"/>
      <x:c r="F71" s="579"/>
      <x:c r="G71" s="579"/>
      <x:c r="H71" s="579"/>
      <x:c r="I71" s="579"/>
      <x:c r="J71" s="579"/>
      <x:c r="K71" s="579"/>
      <x:c r="L71" s="579"/>
      <x:c r="M71" s="579"/>
      <x:c r="N71" s="579"/>
    </x:row>
    <x:row r="72">
      <x:c r="C72" s="556"/>
      <x:c r="D72" s="579"/>
      <x:c r="E72" s="579"/>
      <x:c r="F72" s="579"/>
      <x:c r="G72" s="579"/>
      <x:c r="H72" s="579"/>
      <x:c r="I72" s="579"/>
      <x:c r="J72" s="579"/>
      <x:c r="K72" s="579"/>
      <x:c r="L72" s="579"/>
      <x:c r="M72" s="579"/>
      <x:c r="N72" s="579"/>
    </x:row>
    <x:row r="73">
      <x:c r="C73" s="556"/>
      <x:c r="D73" s="579"/>
      <x:c r="E73" s="579"/>
      <x:c r="F73" s="579"/>
      <x:c r="G73" s="579"/>
      <x:c r="H73" s="579"/>
      <x:c r="I73" s="579"/>
      <x:c r="J73" s="579"/>
      <x:c r="K73" s="579"/>
      <x:c r="L73" s="579"/>
      <x:c r="M73" s="579"/>
      <x:c r="N73" s="579"/>
    </x:row>
    <x:row r="74">
      <x:c r="C74" s="556"/>
      <x:c r="D74" s="579"/>
      <x:c r="E74" s="579"/>
      <x:c r="F74" s="579"/>
      <x:c r="G74" s="579"/>
      <x:c r="H74" s="579"/>
      <x:c r="I74" s="579"/>
      <x:c r="J74" s="579"/>
      <x:c r="K74" s="579"/>
      <x:c r="L74" s="579"/>
      <x:c r="M74" s="579"/>
      <x:c r="N74" s="579"/>
    </x:row>
    <x:row r="75">
      <x:c r="C75" s="556"/>
      <x:c r="D75" s="579"/>
      <x:c r="E75" s="579"/>
      <x:c r="F75" s="579"/>
      <x:c r="G75" s="579"/>
      <x:c r="H75" s="579"/>
      <x:c r="I75" s="579"/>
      <x:c r="J75" s="579"/>
      <x:c r="K75" s="579"/>
      <x:c r="L75" s="579"/>
      <x:c r="M75" s="579"/>
      <x:c r="N75" s="579"/>
    </x:row>
    <x:row r="76">
      <x:c r="C76" s="556"/>
      <x:c r="D76" s="579"/>
      <x:c r="E76" s="579"/>
      <x:c r="F76" s="579"/>
      <x:c r="G76" s="579"/>
      <x:c r="H76" s="579"/>
      <x:c r="I76" s="579"/>
      <x:c r="J76" s="579"/>
      <x:c r="K76" s="579"/>
      <x:c r="L76" s="579"/>
      <x:c r="M76" s="579"/>
      <x:c r="N76" s="579"/>
    </x:row>
    <x:row r="77">
      <x:c r="C77" s="556"/>
      <x:c r="D77" s="579"/>
      <x:c r="E77" s="579"/>
      <x:c r="F77" s="579"/>
      <x:c r="G77" s="579"/>
      <x:c r="H77" s="579"/>
      <x:c r="I77" s="579"/>
      <x:c r="J77" s="579"/>
      <x:c r="K77" s="579"/>
      <x:c r="L77" s="579"/>
      <x:c r="M77" s="579"/>
      <x:c r="N77" s="579"/>
    </x:row>
    <x:row r="78">
      <x:c r="C78" s="556"/>
      <x:c r="D78" s="579"/>
      <x:c r="E78" s="579"/>
      <x:c r="F78" s="579"/>
      <x:c r="G78" s="579"/>
      <x:c r="H78" s="579"/>
      <x:c r="I78" s="579"/>
      <x:c r="J78" s="579"/>
      <x:c r="K78" s="579"/>
      <x:c r="L78" s="579"/>
      <x:c r="M78" s="579"/>
      <x:c r="N78" s="579"/>
    </x:row>
    <x:row r="79">
      <x:c r="C79" s="556"/>
      <x:c r="D79" s="579"/>
      <x:c r="E79" s="579"/>
      <x:c r="F79" s="579"/>
      <x:c r="G79" s="579"/>
      <x:c r="H79" s="579"/>
      <x:c r="I79" s="579"/>
      <x:c r="J79" s="579"/>
      <x:c r="K79" s="579"/>
      <x:c r="L79" s="579"/>
      <x:c r="M79" s="579"/>
      <x:c r="N79" s="579"/>
    </x:row>
    <x:row r="80">
      <x:c r="C80" s="556"/>
      <x:c r="D80" s="579"/>
      <x:c r="E80" s="579"/>
      <x:c r="F80" s="579"/>
      <x:c r="G80" s="579"/>
      <x:c r="H80" s="579"/>
      <x:c r="I80" s="579"/>
      <x:c r="J80" s="579"/>
      <x:c r="K80" s="579"/>
      <x:c r="L80" s="579"/>
      <x:c r="M80" s="579"/>
      <x:c r="N80" s="579"/>
    </x:row>
    <x:row r="203" ht="16" customHeight="1">
      <x:c r="P203" s="581" t="str">
        <x:v>GLOBAL INNOVATION INSTITUTE | GII RESEARCH NOTE NO. 2</x:v>
      </x:c>
      <x:c r="Q203" s="581"/>
      <x:c r="R203" s="581"/>
      <x:c r="S203" s="581"/>
    </x:row>
    <x:row r="204" ht="30" customHeight="1">
      <x:c r="P204" s="583" t="str">
        <x:v>EXHIBIT 17  |  FINANCIAL MODEL CONTROLS</x:v>
      </x:c>
      <x:c r="Q204" s="583"/>
      <x:c r="R204" s="583"/>
      <x:c r="S204" s="583"/>
    </x:row>
    <x:row r="205" ht="16" customHeight="1">
      <x:c r="P205" s="585" t="str">
        <x:v>GII 10MW Underwriting | MODEL COMPANION | Version 1.0</x:v>
      </x:c>
      <x:c r="Q205" s="585"/>
      <x:c r="R205" s="585"/>
      <x:c r="S205" s="585"/>
    </x:row>
    <x:row r="206" ht="16" customHeight="1">
      <x:c r="P206" s="586" t="str">
        <x:v>What arithmetic passed, and which risks remain outside the model?</x:v>
      </x:c>
      <x:c r="Q206" s="586"/>
      <x:c r="R206" s="586"/>
      <x:c r="S206" s="586"/>
    </x:row>
    <x:row r="207" ht="4" customHeight="1">
      <x:c r="P207" s="509"/>
      <x:c r="Q207" s="509"/>
      <x:c r="R207" s="509"/>
      <x:c r="S207" s="509"/>
    </x:row>
    <x:row r="208" ht="30" customHeight="1">
      <x:c r="P208" s="590" t="str">
        <x:v>CONTROL POINT   |   PASS means math ties. It does not certify power access, tenant credit, engineering or legal terms.</x:v>
      </x:c>
      <x:c r="Q208" s="590"/>
      <x:c r="R208" s="590"/>
      <x:c r="S208" s="590"/>
    </x:row>
    <x:row r="209" ht="4" customHeight="1">
      <x:c r="P209" s="509"/>
      <x:c r="Q209" s="509"/>
      <x:c r="R209" s="509"/>
      <x:c r="S209" s="509"/>
    </x:row>
    <x:row r="210" ht="30" customHeight="1">
      <x:c r="P210" s="594" t="str">
        <x:v>MEASURE / INVESTMENT QUESTION</x:v>
      </x:c>
      <x:c r="Q210" s="414" t="str">
        <x:v>MODEL RESULT / STATUS</x:v>
      </x:c>
      <x:c r="R210" s="414" t="str">
        <x:v>MODEL TAB / SOURCE</x:v>
      </x:c>
      <x:c r="S210" s="414" t="str">
        <x:v>UNDERWRITING INTERPRETATION</x:v>
      </x:c>
    </x:row>
    <x:row r="211" ht="16" hidden="0" customHeight="1">
      <x:c r="P211" s="684" t="str">
        <x:v>AUTOMATED ARITHMETIC CHECKS | MODEL COHERENCE</x:v>
      </x:c>
      <x:c r="Q211" s="1047"/>
      <x:c r="R211" s="685" t="str"/>
      <x:c r="S211" s="685" t="str"/>
    </x:row>
    <x:row r="212" ht="17.110000610351562" hidden="0" customHeight="1">
      <x:c r="P212" s="509" t="str">
        <x:v>Sources equal development uses</x:v>
      </x:c>
      <x:c r="Q212" s="1042" t="str">
        <x:f>E17_Checks!D12</x:f>
        <x:v>PASS</x:v>
      </x:c>
      <x:c r="R212" s="510" t="str">
        <x:v>Checks tab</x:v>
      </x:c>
      <x:c r="S212" s="510" t="str">
        <x:v>PASS if modeled cash sources reconcile.</x:v>
      </x:c>
    </x:row>
    <x:row r="213" ht="17.110000610351562" hidden="0" customHeight="1">
      <x:c r="P213" s="597" t="str">
        <x:v>Construction equity reconciliation</x:v>
      </x:c>
      <x:c r="Q213" s="1041" t="str">
        <x:f>E17_Checks!D13</x:f>
        <x:v>PASS</x:v>
      </x:c>
      <x:c r="R213" s="599" t="str">
        <x:v>Checks tab</x:v>
      </x:c>
      <x:c r="S213" s="599" t="str">
        <x:v>PASS if funding schedules reconcile.</x:v>
      </x:c>
    </x:row>
    <x:row r="214" ht="17.110000610351562" hidden="0" customHeight="1">
      <x:c r="P214" s="509" t="str">
        <x:v>Construction debt reconciliation</x:v>
      </x:c>
      <x:c r="Q214" s="1042" t="str">
        <x:f>E17_Checks!D14</x:f>
        <x:v>PASS</x:v>
      </x:c>
      <x:c r="R214" s="510" t="str">
        <x:v>Checks tab</x:v>
      </x:c>
      <x:c r="S214" s="510" t="str">
        <x:v>PASS if loan draws match commitment.</x:v>
      </x:c>
    </x:row>
    <x:row r="215" ht="17.110000610351562" hidden="0" customHeight="1">
      <x:c r="P215" s="597" t="str">
        <x:v>Monthly equity schedule reconciliation</x:v>
      </x:c>
      <x:c r="Q215" s="1041" t="str">
        <x:f>E17_Checks!D15</x:f>
        <x:v>PASS</x:v>
      </x:c>
      <x:c r="R215" s="599" t="str">
        <x:v>Checks tab</x:v>
      </x:c>
      <x:c r="S215" s="599" t="str">
        <x:v>PASS if equity outflows match initial equity.</x:v>
      </x:c>
    </x:row>
    <x:row r="216" ht="17.110000610351562" hidden="0" customHeight="1">
      <x:c r="P216" s="509" t="str">
        <x:v>Electricity pass-through balance</x:v>
      </x:c>
      <x:c r="Q216" s="1042" t="str">
        <x:f>E17_Checks!D16</x:f>
        <x:v>PASS</x:v>
      </x:c>
      <x:c r="R216" s="510" t="str">
        <x:v>Checks tab</x:v>
      </x:c>
      <x:c r="S216" s="510" t="str">
        <x:v>PASS if reimbursements equal modeled expense.</x:v>
      </x:c>
    </x:row>
    <x:row r="217" ht="17.110000610351562" hidden="0" customHeight="1">
      <x:c r="P217" s="597" t="str">
        <x:v>Integrated internal rent elimination</x:v>
      </x:c>
      <x:c r="Q217" s="1041" t="str">
        <x:f>E17_Checks!D17</x:f>
        <x:v>PASS</x:v>
      </x:c>
      <x:c r="R217" s="599" t="str">
        <x:v>Checks tab</x:v>
      </x:c>
      <x:c r="S217" s="599" t="str">
        <x:v>PASS if intercompany rent cancels.</x:v>
      </x:c>
    </x:row>
    <x:row r="218" ht="17.110000610351562" hidden="0" customHeight="1">
      <x:c r="P218" s="509" t="str">
        <x:v>24-month construction structure</x:v>
      </x:c>
      <x:c r="Q218" s="1042" t="str">
        <x:f>E17_Checks!D18</x:f>
        <x:v>PASS</x:v>
      </x:c>
      <x:c r="R218" s="510" t="str">
        <x:v>Checks tab</x:v>
      </x:c>
      <x:c r="S218" s="510" t="str">
        <x:v>PASS only for the fixed horizon.</x:v>
      </x:c>
    </x:row>
    <x:row r="219" ht="17.110000610351562" hidden="0" customHeight="1">
      <x:c r="P219" s="597" t="str">
        <x:v>10-year operating hold structure</x:v>
      </x:c>
      <x:c r="Q219" s="1041" t="str">
        <x:f>E17_Checks!D19</x:f>
        <x:v>PASS</x:v>
      </x:c>
      <x:c r="R219" s="599" t="str">
        <x:v>Checks tab</x:v>
      </x:c>
      <x:c r="S219" s="599" t="str">
        <x:v>PASS only for the fixed horizon.</x:v>
      </x:c>
    </x:row>
    <x:row r="220" ht="17.110000610351562" hidden="0" customHeight="1">
      <x:c r="P220" s="509" t="str">
        <x:v>Lease covers planned hold</x:v>
      </x:c>
      <x:c r="Q220" s="1042" t="str">
        <x:f>E17_Checks!D20</x:f>
        <x:v>PASS</x:v>
      </x:c>
      <x:c r="R220" s="510" t="str">
        <x:v>Checks tab</x:v>
      </x:c>
      <x:c r="S220" s="510" t="str">
        <x:v>Legal renewal rights still unexamined.</x:v>
      </x:c>
    </x:row>
    <x:row r="221" ht="17.110000610351562" hidden="0" customHeight="1">
      <x:c r="P221" s="597" t="str">
        <x:v>Reserved billability in range</x:v>
      </x:c>
      <x:c r="Q221" s="1041" t="str">
        <x:f>E17_Checks!D21</x:f>
        <x:v>PASS</x:v>
      </x:c>
      <x:c r="R221" s="599" t="str">
        <x:v>Checks tab</x:v>
      </x:c>
      <x:c r="S221" s="599" t="str">
        <x:v>Only arithmetic, not executed lease.</x:v>
      </x:c>
    </x:row>
    <x:row r="222" ht="17.110000610351562" hidden="0" customHeight="1">
      <x:c r="P222" s="509" t="str">
        <x:v>IT electrical loading in range</x:v>
      </x:c>
      <x:c r="Q222" s="1042" t="str">
        <x:f>E17_Checks!D22</x:f>
        <x:v>PASS</x:v>
      </x:c>
      <x:c r="R222" s="510" t="str">
        <x:v>Checks tab</x:v>
      </x:c>
      <x:c r="S222" s="510" t="str">
        <x:v>Only arithmetic, not operating data.</x:v>
      </x:c>
    </x:row>
    <x:row r="223" ht="17.110000610351562" hidden="0" customHeight="1">
      <x:c r="P223" s="597" t="str">
        <x:v>PUE at least one</x:v>
      </x:c>
      <x:c r="Q223" s="1041" t="str">
        <x:f>E17_Checks!D23</x:f>
        <x:v>PASS</x:v>
      </x:c>
      <x:c r="R223" s="599" t="str">
        <x:v>Checks tab</x:v>
      </x:c>
      <x:c r="S223" s="599" t="str">
        <x:v>Engineering performance not independently tested.</x:v>
      </x:c>
    </x:row>
    <x:row r="224" ht="17.110000610351562" hidden="0" customHeight="1">
      <x:c r="P224" s="509" t="str">
        <x:v>Required positive modeling inputs</x:v>
      </x:c>
      <x:c r="Q224" s="1042" t="str">
        <x:f>E17_Checks!D24</x:f>
        <x:v>PASS</x:v>
      </x:c>
      <x:c r="R224" s="510" t="str">
        <x:v>Checks tab</x:v>
      </x:c>
      <x:c r="S224" s="510" t="str">
        <x:v>Prevents obvious invalid denominators.</x:v>
      </x:c>
    </x:row>
    <x:row r="225" ht="17.110000610351562" hidden="0" customHeight="1">
      <x:c r="P225" s="597" t="str">
        <x:v>GMI financing totals reconcile</x:v>
      </x:c>
      <x:c r="Q225" s="1041" t="str">
        <x:f>E17_Checks!D25</x:f>
        <x:v>PASS</x:v>
      </x:c>
      <x:c r="R225" s="599" t="str">
        <x:v>Checks tab</x:v>
      </x:c>
      <x:c r="S225" s="599" t="str">
        <x:v>Announcement composition, not capital availability.</x:v>
      </x:c>
    </x:row>
    <x:row r="226" ht="30.219999313354492" hidden="0" customHeight="1">
      <x:c r="P226" s="589" t="str">
        <x:v>IMPORTANT LIMITATION</x:v>
      </x:c>
      <x:c r="Q226" s="1127" t="str"/>
      <x:c r="R226" s="654" t="str"/>
      <x:c r="S226" s="654" t="str"/>
    </x:row>
    <x:row r="227" ht="17.110000610351562" hidden="0" customHeight="1">
      <x:c r="P227" s="589" t="str">
        <x:v>ALL CHECKS PASS ≠ INVESTMENT APPROVAL</x:v>
      </x:c>
      <x:c r="Q227" s="1127" t="str">
        <x:v>REQUIRED</x:v>
      </x:c>
      <x:c r="R227" s="654" t="str">
        <x:v>DILIGENCE</x:v>
      </x:c>
      <x:c r="S227" s="654" t="str">
        <x:v>Power, signed lease, engineering, tenant credit unverified.</x:v>
      </x:c>
    </x:row>
    <x:row r="228" ht="17.110000610351562" hidden="0" customHeight="1">
      <x:c r="P228" s="509" t="str">
        <x:v>Land + Hard + Soft reconciles</x:v>
      </x:c>
      <x:c r="Q228" s="1042" t="str">
        <x:f>Checks!E32</x:f>
        <x:v>PASS</x:v>
      </x:c>
      <x:c r="R228" s="510" t="str">
        <x:v>Checks tab</x:v>
      </x:c>
      <x:c r="S228" s="510" t="str">
        <x:v>Classification equals TDC.</x:v>
      </x:c>
    </x:row>
    <x:row r="229" ht="17.110000610351562" hidden="0" customHeight="1">
      <x:c r="P229" s="597" t="str">
        <x:v>Development Yield reconciles</x:v>
      </x:c>
      <x:c r="Q229" s="1041" t="str">
        <x:f>Checks!E33</x:f>
        <x:v>PASS</x:v>
      </x:c>
      <x:c r="R229" s="599" t="str">
        <x:v>Checks tab</x:v>
      </x:c>
      <x:c r="S229" s="599" t="str">
        <x:v>NOI / TDC equals the stated measure.</x:v>
      </x:c>
    </x:row>
    <x:row r="230" ht="16" hidden="0" customHeight="1">
      <x:c r="P230" s="684" t="str">
        <x:v>Year 1 stabilization convention</x:v>
      </x:c>
      <x:c r="Q230" s="1047" t="str">
        <x:f>Checks!E36</x:f>
        <x:v>PASS</x:v>
      </x:c>
      <x:c r="R230" s="685" t="str">
        <x:v>Checks tab</x:v>
      </x:c>
      <x:c r="S230" s="685" t="str">
        <x:v>Full billability is assumed, not verified.</x:v>
      </x:c>
    </x:row>
    <x:row r="231" ht="30.219999313354492" hidden="0" customHeight="1">
      <x:c r="P231" s="597" t="str"/>
      <x:c r="Q231" s="1041" t="str"/>
      <x:c r="R231" s="599" t="str"/>
      <x:c r="S231" s="599" t="str"/>
    </x:row>
    <x:row r="232" ht="2" customHeight="1">
      <x:c r="P232" s="509"/>
      <x:c r="Q232" s="510"/>
      <x:c r="R232" s="510"/>
      <x:c r="S232" s="510"/>
    </x:row>
    <x:row r="233" ht="2" customHeight="1">
      <x:c r="P233" s="509"/>
      <x:c r="Q233" s="510"/>
      <x:c r="R233" s="510"/>
      <x:c r="S233" s="510"/>
    </x:row>
    <x:row r="234" ht="2" customHeight="1">
      <x:c r="P234" s="509"/>
      <x:c r="Q234" s="510"/>
      <x:c r="R234" s="510"/>
      <x:c r="S234" s="510"/>
    </x:row>
    <x:row r="235" ht="4" customHeight="1">
      <x:c r="P235" s="509"/>
      <x:c r="Q235" s="509"/>
      <x:c r="R235" s="509"/>
      <x:c r="S235" s="509"/>
    </x:row>
    <x:row r="236" ht="23" customHeight="1">
      <x:c r="P236" s="613" t="str">
        <x:v>SOURCE / BASIS | GII teaching model. Use the working tab and Research bibliography for assumptions and evidence.</x:v>
      </x:c>
      <x:c r="Q236" s="613"/>
      <x:c r="R236" s="613"/>
      <x:c r="S236" s="613"/>
    </x:row>
    <x:row r="237" ht="2" customHeight="1">
      <x:c r="P237" s="613"/>
      <x:c r="Q237" s="613"/>
      <x:c r="R237" s="613"/>
      <x:c r="S237" s="613"/>
    </x:row>
    <x:row r="238" ht="2" customHeight="1">
      <x:c r="P238" s="613"/>
      <x:c r="Q238" s="613"/>
      <x:c r="R238" s="613"/>
      <x:c r="S238" s="613"/>
    </x:row>
    <x:row r="239" ht="23" customHeight="1">
      <x:c r="P239" s="613" t="str">
        <x:v>LIMITATION | Hypothetical property; no actual GMI lease. Long working schedules remain complete in Excel.</x:v>
      </x:c>
      <x:c r="Q239" s="613"/>
      <x:c r="R239" s="613"/>
      <x:c r="S239" s="613"/>
    </x:row>
    <x:row r="240" ht="2" customHeight="1">
      <x:c r="P240" s="509"/>
      <x:c r="Q240" s="509"/>
      <x:c r="R240" s="509"/>
      <x:c r="S240" s="509"/>
    </x:row>
    <x:row r="241" ht="2" customHeight="1">
      <x:c r="P241" s="509"/>
      <x:c r="Q241" s="509"/>
      <x:c r="R241" s="509"/>
      <x:c r="S241" s="509"/>
    </x:row>
    <x:row r="242" ht="14" customHeight="1">
      <x:c r="P242" s="615" t="str">
        <x:v>GII Research Note No. 2 | October 22, 2026 | Version 1.0 | 37 / 37</x:v>
      </x:c>
      <x:c r="Q242" s="615"/>
      <x:c r="R242" s="615"/>
      <x:c r="S242" s="615"/>
    </x:row>
    <x:row r="243" ht="2" customHeight="1">
      <x:c r="P243" s="509"/>
      <x:c r="Q243" s="509"/>
      <x:c r="R243" s="509"/>
      <x:c r="S243" s="509"/>
    </x:row>
  </x:sheetData>
  <x:mergeCells>
    <x:mergeCell ref="C29:F29"/>
    <x:mergeCell ref="C3:D3"/>
    <x:mergeCell ref="C4:F4"/>
    <x:mergeCell ref="C5:F5"/>
    <x:mergeCell ref="C7:F7"/>
    <x:mergeCell ref="C11:F11"/>
    <x:mergeCell ref="C26:F26"/>
    <x:mergeCell ref="P203:S203"/>
    <x:mergeCell ref="P204:S204"/>
    <x:mergeCell ref="P205:S205"/>
    <x:mergeCell ref="P206:S206"/>
    <x:mergeCell ref="P208:S208"/>
    <x:mergeCell ref="P236:S236"/>
    <x:mergeCell ref="P239:S239"/>
    <x:mergeCell ref="P242:S242"/>
    <x:mergeCell ref="P211:S211"/>
    <x:mergeCell ref="P226:S226"/>
  </x:mergeCells>
  <x:printOptions horizontalCentered="1" verticalCentered="0" headings="0" gridLines="0"/>
  <x:pageMargins left="0.3" right="0.3" top="0.3" bottom="0.3" header="0.1" footer="0.1"/>
  <x:pageSetup paperSize="1" orientation="landscape" fitToWidth="1" fitToHeight="1" useFirstPageNumber="0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GII 10MW Underwriting | Companion model to GII Research Note No. 2</dc:title>
  <dc:subject>Version 1.0 — 10 MW data center real estate underwriting teaching model</dc:subject>
  <dc:creator>Dr. Cervantes Lee | Global Innovation Institute</dc:creator>
  <cp:keywords>GII Research Note 2; data center real estate; 10MW underwriting; Silicon Valley</cp:keywords>
  <dc:description>Companion Excel model, Version 1.0. Document date: October 22, 2026.</dc:description>
  <dcterms:created xsi:type="dcterms:W3CDTF">2026-10-22T00:00:00Z</dcterms:created>
  <dcterms:modified xsi:type="dcterms:W3CDTF">2026-10-23T00:00:00Z</dcterms:modified>
</cp:coreProperties>
</file>